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9C65A5B9-1726-4552-A4A2-6A37CAAA6A21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<sst xmlns="http://schemas.openxmlformats.org/spreadsheetml/2006/main" count="138" uniqueCount="92">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</sst>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3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1FD6D7F2-8AF0-44BD-8121-D6767C0EF9F5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65">
        <v>27</v>
      </c>
      <c r="B1" s="66" t="s">
        <v>11</v>
      </c>
      <c r="C1" s="64"/>
      <c r="D1" s="64"/>
      <c r="E1" s="64"/>
      <c r="F1" s="64"/>
      <c r="G1" s="67">
        <v>-659.16</v>
      </c>
    </row>
    <row r="2" spans="1:7" x14ac:dyDescent="0.25">
      <c r="A2" s="65">
        <v>28</v>
      </c>
      <c r="B2" s="66" t="s">
        <v>12</v>
      </c>
      <c r="C2" s="64"/>
      <c r="D2" s="64"/>
      <c r="E2" s="64"/>
      <c r="F2" s="68">
        <v>66</v>
      </c>
      <c r="G2" s="69">
        <v>6.6</v>
      </c>
    </row>
    <row r="3" spans="1:7" x14ac:dyDescent="0.25">
      <c r="A3" s="65">
        <v>38</v>
      </c>
      <c r="B3" s="66" t="s">
        <v>55</v>
      </c>
      <c r="C3" s="64"/>
      <c r="D3" s="64"/>
      <c r="E3" s="64"/>
      <c r="F3" s="68">
        <v>69</v>
      </c>
      <c r="G3" s="69">
        <v>3.45</v>
      </c>
    </row>
    <row r="4" spans="1:7" x14ac:dyDescent="0.25">
      <c r="A4" s="65">
        <v>110</v>
      </c>
      <c r="B4" s="66" t="s">
        <v>22</v>
      </c>
      <c r="C4" s="64"/>
      <c r="D4" s="64"/>
      <c r="E4" s="64"/>
      <c r="F4" s="68">
        <v>3308</v>
      </c>
      <c r="G4" s="70">
        <v>15792.36</v>
      </c>
    </row>
    <row r="5" spans="1:7" x14ac:dyDescent="0.25">
      <c r="A5" s="65">
        <v>120</v>
      </c>
      <c r="B5" s="66" t="s">
        <v>23</v>
      </c>
      <c r="C5" s="64"/>
      <c r="D5" s="64"/>
      <c r="E5" s="64"/>
      <c r="F5" s="68">
        <v>1985</v>
      </c>
      <c r="G5" s="71">
        <v>9921.0400000000009</v>
      </c>
    </row>
    <row r="6" spans="1:7" x14ac:dyDescent="0.25">
      <c r="A6" s="65">
        <v>130</v>
      </c>
      <c r="B6" s="66" t="s">
        <v>24</v>
      </c>
      <c r="C6" s="64"/>
      <c r="D6" s="64"/>
      <c r="E6" s="64"/>
      <c r="F6" s="68">
        <v>449</v>
      </c>
      <c r="G6" s="71">
        <v>3111.85</v>
      </c>
    </row>
    <row r="7" spans="1:7" x14ac:dyDescent="0.25">
      <c r="A7" s="65">
        <v>140</v>
      </c>
      <c r="B7" s="66" t="s">
        <v>25</v>
      </c>
      <c r="C7" s="64"/>
      <c r="D7" s="64"/>
      <c r="E7" s="64"/>
      <c r="F7" s="68">
        <v>1254</v>
      </c>
      <c r="G7" s="71">
        <v>9000.19</v>
      </c>
    </row>
    <row r="8" spans="1:7" x14ac:dyDescent="0.25">
      <c r="A8" s="65">
        <v>142</v>
      </c>
      <c r="B8" s="66" t="s">
        <v>26</v>
      </c>
      <c r="C8" s="64"/>
      <c r="D8" s="64"/>
      <c r="E8" s="64"/>
      <c r="F8" s="68">
        <v>151</v>
      </c>
      <c r="G8" s="67">
        <v>681.68</v>
      </c>
    </row>
    <row r="9" spans="1:7" x14ac:dyDescent="0.25">
      <c r="A9" s="65">
        <v>150</v>
      </c>
      <c r="B9" s="66" t="s">
        <v>27</v>
      </c>
      <c r="C9" s="64"/>
      <c r="D9" s="64"/>
      <c r="E9" s="64"/>
      <c r="F9" s="68">
        <v>463</v>
      </c>
      <c r="G9" s="71">
        <v>2693.84</v>
      </c>
    </row>
    <row r="10" spans="1:7" x14ac:dyDescent="0.25">
      <c r="A10" s="65">
        <v>160</v>
      </c>
      <c r="B10" s="66" t="s">
        <v>28</v>
      </c>
      <c r="C10" s="64"/>
      <c r="D10" s="64"/>
      <c r="E10" s="64"/>
      <c r="F10" s="68">
        <v>130</v>
      </c>
      <c r="G10" s="71">
        <v>1280.48</v>
      </c>
    </row>
    <row r="11" spans="1:7" x14ac:dyDescent="0.25">
      <c r="A11" s="65">
        <v>180</v>
      </c>
      <c r="B11" s="66" t="s">
        <v>30</v>
      </c>
      <c r="C11" s="64"/>
      <c r="D11" s="64"/>
      <c r="E11" s="64"/>
      <c r="F11" s="68">
        <v>62</v>
      </c>
      <c r="G11" s="67">
        <v>196.25</v>
      </c>
    </row>
    <row r="12" spans="1:7" x14ac:dyDescent="0.25">
      <c r="A12" s="65">
        <v>190</v>
      </c>
      <c r="B12" s="66" t="s">
        <v>31</v>
      </c>
      <c r="C12" s="64"/>
      <c r="D12" s="64"/>
      <c r="E12" s="64"/>
      <c r="F12" s="68">
        <v>169</v>
      </c>
      <c r="G12" s="71">
        <v>1043.44</v>
      </c>
    </row>
    <row r="13" spans="1:7" x14ac:dyDescent="0.25">
      <c r="A13" s="65">
        <v>210</v>
      </c>
      <c r="B13" s="66" t="s">
        <v>32</v>
      </c>
      <c r="C13" s="64"/>
      <c r="D13" s="64"/>
      <c r="E13" s="64"/>
      <c r="F13" s="68">
        <v>1076</v>
      </c>
      <c r="G13" s="71">
        <v>8915.83</v>
      </c>
    </row>
    <row r="14" spans="1:7" x14ac:dyDescent="0.25">
      <c r="A14" s="65">
        <v>220</v>
      </c>
      <c r="B14" s="66" t="s">
        <v>33</v>
      </c>
      <c r="C14" s="64"/>
      <c r="D14" s="64"/>
      <c r="E14" s="64"/>
      <c r="F14" s="68">
        <v>685</v>
      </c>
      <c r="G14" s="71">
        <v>2386.5</v>
      </c>
    </row>
    <row r="15" spans="1:7" x14ac:dyDescent="0.25">
      <c r="A15" s="65">
        <v>230</v>
      </c>
      <c r="B15" s="66" t="s">
        <v>34</v>
      </c>
      <c r="C15" s="64"/>
      <c r="D15" s="64"/>
      <c r="E15" s="64"/>
      <c r="F15" s="68">
        <v>1</v>
      </c>
      <c r="G15" s="72">
        <v>99.75</v>
      </c>
    </row>
    <row r="16" spans="1:7" x14ac:dyDescent="0.25">
      <c r="A16" s="65">
        <v>235</v>
      </c>
      <c r="B16" s="66" t="s">
        <v>59</v>
      </c>
      <c r="C16" s="64"/>
      <c r="D16" s="64"/>
      <c r="E16" s="64"/>
      <c r="F16" s="68">
        <v>56</v>
      </c>
      <c r="G16" s="67">
        <v>679.94</v>
      </c>
    </row>
    <row r="17" spans="1:7" x14ac:dyDescent="0.25">
      <c r="A17" s="65">
        <v>240</v>
      </c>
      <c r="B17" s="66" t="s">
        <v>35</v>
      </c>
      <c r="C17" s="64"/>
      <c r="D17" s="64"/>
      <c r="E17" s="64"/>
      <c r="F17" s="68">
        <v>217</v>
      </c>
      <c r="G17" s="67">
        <v>942.83</v>
      </c>
    </row>
    <row r="18" spans="1:7" x14ac:dyDescent="0.25">
      <c r="A18" s="65">
        <v>250</v>
      </c>
      <c r="B18" s="66" t="s">
        <v>36</v>
      </c>
      <c r="C18" s="64"/>
      <c r="D18" s="64"/>
      <c r="E18" s="64"/>
      <c r="F18" s="68">
        <v>124</v>
      </c>
      <c r="G18" s="67">
        <v>686.46</v>
      </c>
    </row>
    <row r="19" spans="1:7" x14ac:dyDescent="0.25">
      <c r="A19" s="65">
        <v>310</v>
      </c>
      <c r="B19" s="66" t="s">
        <v>37</v>
      </c>
      <c r="C19" s="64"/>
      <c r="D19" s="64"/>
      <c r="E19" s="64"/>
      <c r="F19" s="68">
        <v>852</v>
      </c>
      <c r="G19" s="71">
        <v>5268.18</v>
      </c>
    </row>
    <row r="20" spans="1:7" x14ac:dyDescent="0.25">
      <c r="A20" s="65">
        <v>320</v>
      </c>
      <c r="B20" s="66" t="s">
        <v>38</v>
      </c>
      <c r="C20" s="64"/>
      <c r="D20" s="64"/>
      <c r="E20" s="64"/>
      <c r="F20" s="68">
        <v>702</v>
      </c>
      <c r="G20" s="71">
        <v>7278.28</v>
      </c>
    </row>
    <row r="21" spans="1:7" x14ac:dyDescent="0.25">
      <c r="A21" s="65">
        <v>330</v>
      </c>
      <c r="B21" s="66" t="s">
        <v>39</v>
      </c>
      <c r="C21" s="64"/>
      <c r="D21" s="64"/>
      <c r="E21" s="64"/>
      <c r="F21" s="68">
        <v>195</v>
      </c>
      <c r="G21" s="71">
        <v>2086.9499999999998</v>
      </c>
    </row>
    <row r="22" spans="1:7" x14ac:dyDescent="0.25">
      <c r="A22" s="65">
        <v>340</v>
      </c>
      <c r="B22" s="66" t="s">
        <v>40</v>
      </c>
      <c r="C22" s="64"/>
      <c r="D22" s="64"/>
      <c r="E22" s="64"/>
      <c r="F22" s="68">
        <v>131</v>
      </c>
      <c r="G22" s="71">
        <v>1736.48</v>
      </c>
    </row>
    <row r="23" spans="1:7" x14ac:dyDescent="0.25">
      <c r="A23" s="65">
        <v>350</v>
      </c>
      <c r="B23" s="66" t="s">
        <v>41</v>
      </c>
      <c r="C23" s="64"/>
      <c r="D23" s="64"/>
      <c r="E23" s="64"/>
      <c r="F23" s="68">
        <v>180</v>
      </c>
      <c r="G23" s="71">
        <v>1656.84</v>
      </c>
    </row>
    <row r="24" spans="1:7" x14ac:dyDescent="0.25">
      <c r="A24" s="65">
        <v>410</v>
      </c>
      <c r="B24" s="66" t="s">
        <v>42</v>
      </c>
      <c r="C24" s="64"/>
      <c r="D24" s="64"/>
      <c r="E24" s="64"/>
      <c r="F24" s="68">
        <v>4307</v>
      </c>
      <c r="G24" s="70">
        <v>15073.32</v>
      </c>
    </row>
    <row r="25" spans="1:7" x14ac:dyDescent="0.25">
      <c r="A25" s="65">
        <v>420</v>
      </c>
      <c r="B25" s="66" t="s">
        <v>43</v>
      </c>
      <c r="C25" s="64"/>
      <c r="D25" s="64"/>
      <c r="E25" s="64"/>
      <c r="F25" s="68">
        <v>127</v>
      </c>
      <c r="G25" s="71">
        <v>1025.82</v>
      </c>
    </row>
    <row r="26" spans="1:7" x14ac:dyDescent="0.25">
      <c r="A26" s="65">
        <v>510</v>
      </c>
      <c r="B26" s="66" t="s">
        <v>44</v>
      </c>
      <c r="C26" s="64"/>
      <c r="D26" s="64"/>
      <c r="E26" s="64"/>
      <c r="F26" s="68">
        <v>317</v>
      </c>
      <c r="G26" s="71">
        <v>2905.1</v>
      </c>
    </row>
    <row r="27" spans="1:7" x14ac:dyDescent="0.25">
      <c r="A27" s="65">
        <v>520</v>
      </c>
      <c r="B27" s="66" t="s">
        <v>45</v>
      </c>
      <c r="C27" s="64"/>
      <c r="D27" s="64"/>
      <c r="E27" s="64"/>
      <c r="F27" s="68">
        <v>295</v>
      </c>
      <c r="G27" s="71">
        <v>4983.8900000000003</v>
      </c>
    </row>
    <row r="28" spans="1:7" x14ac:dyDescent="0.25">
      <c r="A28" s="65">
        <v>550</v>
      </c>
      <c r="B28" s="66" t="s">
        <v>48</v>
      </c>
      <c r="C28" s="64"/>
      <c r="D28" s="64"/>
      <c r="E28" s="64"/>
      <c r="F28" s="68">
        <v>2</v>
      </c>
      <c r="G28" s="72">
        <v>19.98</v>
      </c>
    </row>
    <row r="29" spans="1:7" x14ac:dyDescent="0.25">
      <c r="A29" s="65">
        <v>1300</v>
      </c>
      <c r="B29" s="66" t="s">
        <v>51</v>
      </c>
      <c r="C29" s="64"/>
      <c r="D29" s="64"/>
      <c r="E29" s="64"/>
      <c r="F29" s="68">
        <v>34</v>
      </c>
      <c r="G29" s="67">
        <v>139.71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59">
        <v>25</v>
      </c>
      <c r="G1" s="60">
        <v>16.27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59">
        <v>46</v>
      </c>
      <c r="G2" s="60">
        <v>24.41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59">
        <v>2</v>
      </c>
      <c r="G3" s="61">
        <v>0.86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1">
        <v>2</v>
      </c>
      <c r="G4" s="61">
        <v>2.4300000000000002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59">
        <v>109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59">
        <v>41</v>
      </c>
      <c r="G6" s="60">
        <v>18.53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59">
        <v>7</v>
      </c>
      <c r="G7" s="61">
        <v>6.02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59">
        <v>31</v>
      </c>
      <c r="G8" s="56"/>
    </row>
    <row r="9" spans="1:7" x14ac:dyDescent="0.25">
      <c r="A9" s="57">
        <v>310</v>
      </c>
      <c r="B9" s="58" t="s">
        <v>37</v>
      </c>
      <c r="C9" s="56"/>
      <c r="D9" s="56"/>
      <c r="E9" s="56"/>
      <c r="F9" s="59">
        <v>10</v>
      </c>
      <c r="G9" s="61">
        <v>7.28</v>
      </c>
    </row>
    <row r="10" spans="1:7" x14ac:dyDescent="0.25">
      <c r="A10" s="57">
        <v>320</v>
      </c>
      <c r="B10" s="58" t="s">
        <v>38</v>
      </c>
      <c r="C10" s="56"/>
      <c r="D10" s="56"/>
      <c r="E10" s="56"/>
      <c r="F10" s="59">
        <v>4</v>
      </c>
      <c r="G10" s="61"/>
    </row>
    <row r="11" spans="1:7" x14ac:dyDescent="0.25">
      <c r="A11" s="57">
        <v>330</v>
      </c>
      <c r="B11" s="58" t="s">
        <v>39</v>
      </c>
      <c r="C11" s="56"/>
      <c r="D11" s="56"/>
      <c r="E11" s="56"/>
      <c r="F11" s="59">
        <v>3</v>
      </c>
      <c r="G11" s="61">
        <v>2.75</v>
      </c>
    </row>
    <row r="12" spans="1:7" x14ac:dyDescent="0.25">
      <c r="A12" s="57">
        <v>350</v>
      </c>
      <c r="B12" s="58" t="s">
        <v>41</v>
      </c>
      <c r="C12" s="56"/>
      <c r="D12" s="56"/>
      <c r="E12" s="56"/>
      <c r="F12" s="59">
        <v>1</v>
      </c>
      <c r="G12" s="61">
        <v>1.45</v>
      </c>
    </row>
    <row r="13" spans="1:7" x14ac:dyDescent="0.25">
      <c r="A13" s="57">
        <v>410</v>
      </c>
      <c r="B13" s="58" t="s">
        <v>42</v>
      </c>
      <c r="C13" s="56"/>
      <c r="D13" s="56"/>
      <c r="E13" s="56"/>
      <c r="F13" s="59">
        <v>5</v>
      </c>
      <c r="G13" s="61">
        <v>1.35</v>
      </c>
    </row>
    <row r="14" spans="1:7" x14ac:dyDescent="0.25">
      <c r="A14" s="57">
        <v>520</v>
      </c>
      <c r="B14" s="58" t="s">
        <v>45</v>
      </c>
      <c r="C14" s="56"/>
      <c r="D14" s="56"/>
      <c r="E14" s="56"/>
      <c r="F14" s="59">
        <v>1</v>
      </c>
      <c r="G14" s="61">
        <v>0.85</v>
      </c>
    </row>
    <row r="15" spans="1:7" x14ac:dyDescent="0.25">
      <c r="A15" s="57"/>
      <c r="B15" s="58"/>
      <c r="C15" s="56"/>
      <c r="D15" s="56"/>
      <c r="E15" s="56"/>
      <c r="F15" s="59"/>
      <c r="G15" s="61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2"/>
      <c r="B9" s="62"/>
      <c r="C9" s="62"/>
      <c r="D9" s="62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2"/>
      <c r="B12" s="62"/>
      <c r="C12" s="62"/>
      <c r="D12" s="62"/>
      <c r="E12" s="62"/>
      <c r="F12" s="62"/>
      <c r="G12" s="62"/>
      <c r="H12" s="62"/>
    </row>
    <row r="13" spans="1:8" ht="15" customHeight="1" x14ac:dyDescent="0.25">
      <c r="A13" s="62"/>
      <c r="B13" s="62"/>
      <c r="C13" s="62"/>
      <c r="D13" s="62"/>
      <c r="E13" s="62"/>
      <c r="F13" s="22"/>
      <c r="G13" s="25"/>
    </row>
    <row r="14" spans="1:8" x14ac:dyDescent="0.25">
      <c r="A14" s="22"/>
    </row>
    <row r="15" spans="1:8" x14ac:dyDescent="0.25">
      <c r="A15" s="62"/>
      <c r="B15" s="62"/>
      <c r="C15" s="62"/>
      <c r="D15" s="62"/>
      <c r="E15" s="62"/>
      <c r="F15" s="62"/>
      <c r="G15" s="62"/>
      <c r="H15" s="62"/>
    </row>
    <row r="16" spans="1:8" ht="15" customHeight="1" x14ac:dyDescent="0.25">
      <c r="A16" s="62"/>
      <c r="B16" s="62"/>
      <c r="C16" s="62"/>
      <c r="D16" s="62"/>
      <c r="E16" s="62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2"/>
      <c r="B544" s="62"/>
      <c r="C544" s="62"/>
      <c r="D544" s="62"/>
      <c r="E544" s="62"/>
      <c r="F544" s="62"/>
      <c r="G544" s="62"/>
      <c r="H544" s="62"/>
    </row>
    <row r="545" spans="1:8" ht="15" customHeight="1" x14ac:dyDescent="0.25">
      <c r="A545" s="62"/>
      <c r="B545" s="62"/>
      <c r="C545" s="62"/>
      <c r="D545" s="62"/>
      <c r="E545" s="62"/>
      <c r="F545" s="22"/>
      <c r="G545" s="25"/>
    </row>
    <row r="546" spans="1:8" x14ac:dyDescent="0.25">
      <c r="A546" s="22"/>
    </row>
    <row r="547" spans="1:8" x14ac:dyDescent="0.25">
      <c r="A547" s="62"/>
      <c r="B547" s="62"/>
      <c r="C547" s="62"/>
      <c r="D547" s="62"/>
      <c r="E547" s="62"/>
      <c r="F547" s="62"/>
      <c r="G547" s="62"/>
      <c r="H547" s="62"/>
    </row>
    <row r="548" spans="1:8" ht="15" customHeight="1" x14ac:dyDescent="0.25">
      <c r="A548" s="62"/>
      <c r="B548" s="62"/>
      <c r="C548" s="62"/>
      <c r="D548" s="62"/>
      <c r="E548" s="62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2"/>
      <c r="B729" s="62"/>
      <c r="C729" s="62"/>
      <c r="D729" s="62"/>
      <c r="E729" s="62"/>
      <c r="F729" s="62"/>
      <c r="G729" s="62"/>
      <c r="H729" s="62"/>
    </row>
    <row r="730" spans="1:8" ht="15" customHeight="1" x14ac:dyDescent="0.25">
      <c r="A730" s="62"/>
      <c r="B730" s="62"/>
      <c r="C730" s="62"/>
      <c r="D730" s="62"/>
      <c r="E730" s="62"/>
      <c r="F730" s="22"/>
      <c r="G730" s="25"/>
    </row>
    <row r="731" spans="1:8" x14ac:dyDescent="0.25">
      <c r="A731" s="22"/>
    </row>
    <row r="732" spans="1:8" x14ac:dyDescent="0.25">
      <c r="A732" s="62"/>
      <c r="B732" s="62"/>
      <c r="C732" s="62"/>
      <c r="D732" s="62"/>
      <c r="E732" s="62"/>
      <c r="F732" s="62"/>
      <c r="G732" s="62"/>
      <c r="H732" s="62"/>
    </row>
    <row r="733" spans="1:8" ht="15" customHeight="1" x14ac:dyDescent="0.25">
      <c r="A733" s="62"/>
      <c r="B733" s="62"/>
      <c r="C733" s="62"/>
      <c r="D733" s="62"/>
      <c r="E733" s="62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G22" sqref="G22:G54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3" t="s">
        <v>0</v>
      </c>
      <c r="B1" s="63"/>
      <c r="C1" s="63"/>
      <c r="D1" s="63"/>
      <c r="E1" s="63"/>
      <c r="F1" s="63"/>
      <c r="G1" s="63"/>
      <c r="I1" s="17" t="s">
        <v>54</v>
      </c>
      <c r="J1" s="18">
        <f>G10</f>
        <v>-659.16</v>
      </c>
      <c r="L1" s="39" t="s">
        <v>88</v>
      </c>
      <c r="M1" s="40">
        <f>28+12+16</f>
        <v>56</v>
      </c>
      <c r="O1" s="45" t="s">
        <v>7</v>
      </c>
      <c r="P1" s="46"/>
    </row>
    <row r="2" spans="1:16" ht="18.75" x14ac:dyDescent="0.4">
      <c r="A2" s="63"/>
      <c r="B2" s="63"/>
      <c r="C2" s="63"/>
      <c r="D2" s="63"/>
      <c r="E2" s="63"/>
      <c r="F2" s="63"/>
      <c r="G2" s="63"/>
      <c r="I2" s="13" t="s">
        <v>60</v>
      </c>
      <c r="J2" s="14">
        <f>D54*-1</f>
        <v>-82.199999999999989</v>
      </c>
      <c r="L2" s="41" t="s">
        <v>61</v>
      </c>
      <c r="M2" s="39">
        <f>J1+M1</f>
        <v>-603.16</v>
      </c>
      <c r="O2" s="45" t="s">
        <v>91</v>
      </c>
      <c r="P2" s="46"/>
    </row>
    <row r="3" spans="1:16" ht="18.75" x14ac:dyDescent="0.4">
      <c r="A3" s="63"/>
      <c r="B3" s="63"/>
      <c r="C3" s="63"/>
      <c r="D3" s="63"/>
      <c r="E3" s="63"/>
      <c r="F3" s="63"/>
      <c r="G3" s="63"/>
      <c r="I3" s="15" t="s">
        <v>53</v>
      </c>
      <c r="J3" s="16">
        <f>G54+J1+J2</f>
        <v>98957.880000000019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-659.16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-659.16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6.6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3.45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3.45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15792.36</v>
      </c>
      <c r="D22" s="3">
        <f>IFERROR(INDEX('SubDept Coupon (Local Discount)'!G$1:G$100,MATCH('SubDept Sales Report'!A22,'SubDept Coupon (Local Discount)'!A$1:A$100,0)),0)</f>
        <v>16.27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15808.630000000001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9921.0400000000009</v>
      </c>
      <c r="D23" s="3">
        <f>IFERROR(INDEX('SubDept Coupon (Local Discount)'!G$1:G$100,MATCH('SubDept Sales Report'!A23,'SubDept Coupon (Local Discount)'!A$1:A$100,0)),0)</f>
        <v>24.41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9945.4500000000007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3111.85</v>
      </c>
      <c r="D24" s="3">
        <f>IFERROR(INDEX('SubDept Coupon (Local Discount)'!G$1:G$100,MATCH('SubDept Sales Report'!A24,'SubDept Coupon (Local Discount)'!A$1:A$100,0)),0)</f>
        <v>0.86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3112.71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9000.19</v>
      </c>
      <c r="D25" s="3">
        <f>IFERROR(INDEX('SubDept Coupon (Local Discount)'!G$1:G$100,MATCH('SubDept Sales Report'!A25,'SubDept Coupon (Local Discount)'!A$1:A$100,0)),0)</f>
        <v>2.4300000000000002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9002.6200000000008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681.68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681.68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2693.84</v>
      </c>
      <c r="D27" s="3">
        <f>IFERROR(INDEX('SubDept Coupon (Local Discount)'!G$1:G$100,MATCH('SubDept Sales Report'!A27,'SubDept Coupon (Local Discount)'!A$1:A$100,0)),0)</f>
        <v>18.53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2712.3700000000003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1280.48</v>
      </c>
      <c r="D28" s="3">
        <f>IFERROR(INDEX('SubDept Coupon (Local Discount)'!G$1:G$100,MATCH('SubDept Sales Report'!A28,'SubDept Coupon (Local Discount)'!A$1:A$100,0)),0)</f>
        <v>6.02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1286.5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196.25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196.25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1043.44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1043.44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8915.83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8915.83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2386.5</v>
      </c>
      <c r="D33" s="3">
        <f>IFERROR(INDEX('SubDept Coupon (Local Discount)'!G$1:G$100,MATCH('SubDept Sales Report'!A33,'SubDept Coupon (Local Discount)'!A$1:A$100,0)),0)</f>
        <v>0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2386.5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99.75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99.75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679.94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679.94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942.83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942.83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686.46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686.46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5268.18</v>
      </c>
      <c r="D39" s="3">
        <f>IFERROR(INDEX('SubDept Coupon (Local Discount)'!G$1:G$100,MATCH('SubDept Sales Report'!A39,'SubDept Coupon (Local Discount)'!A$1:A$100,0)),0)</f>
        <v>7.28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5275.46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7278.28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7278.28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2086.9499999999998</v>
      </c>
      <c r="D41" s="3">
        <f>IFERROR(INDEX('SubDept Coupon (Local Discount)'!G$1:G$100,MATCH('SubDept Sales Report'!A41,'SubDept Coupon (Local Discount)'!A$1:A$100,0)),0)</f>
        <v>2.75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2089.6999999999998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1736.48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1736.48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1656.84</v>
      </c>
      <c r="D43" s="3">
        <f>IFERROR(INDEX('SubDept Coupon (Local Discount)'!G$1:G$100,MATCH('SubDept Sales Report'!A43,'SubDept Coupon (Local Discount)'!A$1:A$100,0)),0)</f>
        <v>1.45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1658.29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15073.32</v>
      </c>
      <c r="D44" s="3">
        <f>IFERROR(INDEX('SubDept Coupon (Local Discount)'!G$1:G$100,MATCH('SubDept Sales Report'!A44,'SubDept Coupon (Local Discount)'!A$1:A$100,0)),0)</f>
        <v>1.35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15074.67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1025.82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1025.82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2905.1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2905.1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4983.8900000000003</v>
      </c>
      <c r="D47" s="3">
        <f>IFERROR(INDEX('SubDept Coupon (Local Discount)'!G$1:G$100,MATCH('SubDept Sales Report'!A47,'SubDept Coupon (Local Discount)'!A$1:A$100,0)),0)</f>
        <v>0.85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4984.7400000000007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19.98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19.98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139.71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139.71</v>
      </c>
      <c r="I53" s="12"/>
      <c r="J53" s="3"/>
      <c r="K53" s="3"/>
    </row>
    <row r="54" spans="1:11" x14ac:dyDescent="0.25">
      <c r="B54" s="19" t="s">
        <v>52</v>
      </c>
      <c r="C54" s="3">
        <f>SUM(C5:C53)</f>
        <v>98957.880000000019</v>
      </c>
      <c r="D54" s="11">
        <f>SUM(D5:D53)</f>
        <v>82.199999999999989</v>
      </c>
      <c r="E54" s="11">
        <f>SUM(E5:E53)</f>
        <v>0</v>
      </c>
      <c r="F54" s="11">
        <f>SUM(F5:F53)</f>
        <v>0</v>
      </c>
      <c r="G54" s="38">
        <f>SUM(G11:G53,G9,G8,G7,G6,G5)</f>
        <v>99699.24000000002</v>
      </c>
      <c r="I54" s="12"/>
      <c r="J54" s="3"/>
      <c r="K54" s="3"/>
    </row>
  </sheetData>
  <autoFilter ref="A4:G54" xr:uid="{459199FD-0CD3-4C93-B98C-3BA614742282}">
    <filterColumn colId="6">
      <filters>
        <filter val="$(659.16)"/>
        <filter val="$1,025.82"/>
        <filter val="$1,043.44"/>
        <filter val="$1,286.50"/>
        <filter val="$1,658.29"/>
        <filter val="$1,736.48"/>
        <filter val="$139.71"/>
        <filter val="$15,074.67"/>
        <filter val="$15,808.63"/>
        <filter val="$19.98"/>
        <filter val="$196.25"/>
        <filter val="$2,089.70"/>
        <filter val="$2,386.50"/>
        <filter val="$2,712.37"/>
        <filter val="$2,905.10"/>
        <filter val="$3,112.71"/>
        <filter val="$3.45"/>
        <filter val="$4,984.74"/>
        <filter val="$5,275.46"/>
        <filter val="$6.60"/>
        <filter val="$679.94"/>
        <filter val="$681.68"/>
        <filter val="$686.46"/>
        <filter val="$7,278.28"/>
        <filter val="$8,915.83"/>
        <filter val="$9,002.62"/>
        <filter val="$9,945.45"/>
        <filter val="$942.83"/>
        <filter val="$99,699.24"/>
        <filter val="$99.7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2026-08-10T13:11:01Z</dcterms:modified>
</cp:coreProperties>
</file>