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ACD531D2-BF06-4B17-ABDD-41546660569A}" xr6:coauthVersionLast="47" xr6:coauthVersionMax="47" xr10:uidLastSave="{00000000-0000-0000-0000-000000000000}"/>
  <bookViews>
    <workbookView xWindow="-60" yWindow="-60" windowWidth="28920" windowHeight="156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<sst xmlns="http://schemas.openxmlformats.org/spreadsheetml/2006/main" count="139" uniqueCount="92">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</sst>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</cellStyleXfs>
  <cellXfs count="69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168" fontId="0" fillId="0" borderId="0" xfId="3" applyNumberFormat="1" applyFont="1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164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167" fontId="19" fillId="0" borderId="0" xfId="10" applyNumberFormat="1" applyAlignment="1" applyProtection="1">
      <alignment horizontal="right" vertical="top"/>
      <protection locked="0"/>
    </xf>
    <xf numFmtId="166" fontId="19" fillId="0" borderId="0" xfId="10" applyNumberFormat="1" applyAlignment="1" applyProtection="1">
      <alignment horizontal="right" vertical="top"/>
      <protection locked="0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3" applyNumberFormat="1" applyFont="1"/>
    <xf numFmtId="0" fontId="0" fillId="0" borderId="2" xfId="3" applyNumberFormat="1" applyFont="1" applyBorder="1"/>
    <xf numFmtId="0" fontId="0" fillId="2" borderId="0" xfId="3" applyNumberFormat="1" applyFont="1" applyFill="1"/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30"/>
    </sheetView>
  </sheetViews>
  <sheetFormatPr defaultRowHeight="15" x14ac:dyDescent="0.25"/>
  <cols>
    <col min="2" max="2" width="14.7109375" bestFit="1" customWidth="1"/>
  </cols>
  <sheetData>
    <row r="1" spans="1:7" x14ac:dyDescent="0.25">
      <c r="A1" s="56">
        <v>27</v>
      </c>
      <c r="B1" s="57" t="s">
        <v>11</v>
      </c>
      <c r="C1" s="55"/>
      <c r="D1" s="55"/>
      <c r="E1" s="55"/>
      <c r="F1" s="58">
        <v>-1</v>
      </c>
      <c r="G1" s="60">
        <v>-655</v>
      </c>
    </row>
    <row r="2" spans="1:7" x14ac:dyDescent="0.25">
      <c r="A2" s="56">
        <v>28</v>
      </c>
      <c r="B2" s="57" t="s">
        <v>12</v>
      </c>
      <c r="C2" s="55"/>
      <c r="D2" s="55"/>
      <c r="E2" s="55"/>
      <c r="F2" s="58">
        <v>107</v>
      </c>
      <c r="G2" s="61">
        <v>10.7</v>
      </c>
    </row>
    <row r="3" spans="1:7" x14ac:dyDescent="0.25">
      <c r="A3" s="56">
        <v>38</v>
      </c>
      <c r="B3" s="57" t="s">
        <v>55</v>
      </c>
      <c r="C3" s="55"/>
      <c r="D3" s="55"/>
      <c r="E3" s="55"/>
      <c r="F3" s="58">
        <v>112</v>
      </c>
      <c r="G3" s="59">
        <v>5.6</v>
      </c>
    </row>
    <row r="4" spans="1:7" x14ac:dyDescent="0.25">
      <c r="A4" s="56">
        <v>110</v>
      </c>
      <c r="B4" s="57" t="s">
        <v>22</v>
      </c>
      <c r="C4" s="55"/>
      <c r="D4" s="55"/>
      <c r="E4" s="55"/>
      <c r="F4" s="58">
        <v>3036</v>
      </c>
      <c r="G4" s="62">
        <v>14209.78</v>
      </c>
    </row>
    <row r="5" spans="1:7" x14ac:dyDescent="0.25">
      <c r="A5" s="56">
        <v>120</v>
      </c>
      <c r="B5" s="57" t="s">
        <v>23</v>
      </c>
      <c r="C5" s="55"/>
      <c r="D5" s="55"/>
      <c r="E5" s="55"/>
      <c r="F5" s="58">
        <v>2318</v>
      </c>
      <c r="G5" s="62">
        <v>11327.54</v>
      </c>
    </row>
    <row r="6" spans="1:7" x14ac:dyDescent="0.25">
      <c r="A6" s="56">
        <v>130</v>
      </c>
      <c r="B6" s="57" t="s">
        <v>24</v>
      </c>
      <c r="C6" s="55"/>
      <c r="D6" s="55"/>
      <c r="E6" s="55"/>
      <c r="F6" s="58">
        <v>482</v>
      </c>
      <c r="G6" s="63">
        <v>3239.38</v>
      </c>
    </row>
    <row r="7" spans="1:7" x14ac:dyDescent="0.25">
      <c r="A7" s="56">
        <v>140</v>
      </c>
      <c r="B7" s="57" t="s">
        <v>25</v>
      </c>
      <c r="C7" s="55"/>
      <c r="D7" s="55"/>
      <c r="E7" s="55"/>
      <c r="F7" s="58">
        <v>1434</v>
      </c>
      <c r="G7" s="63">
        <v>9460.6200000000008</v>
      </c>
    </row>
    <row r="8" spans="1:7" x14ac:dyDescent="0.25">
      <c r="A8" s="56">
        <v>142</v>
      </c>
      <c r="B8" s="57" t="s">
        <v>26</v>
      </c>
      <c r="C8" s="55"/>
      <c r="D8" s="55"/>
      <c r="E8" s="55"/>
      <c r="F8" s="58">
        <v>214</v>
      </c>
      <c r="G8" s="63">
        <v>1027.6300000000001</v>
      </c>
    </row>
    <row r="9" spans="1:7" x14ac:dyDescent="0.25">
      <c r="A9" s="56">
        <v>150</v>
      </c>
      <c r="B9" s="57" t="s">
        <v>27</v>
      </c>
      <c r="C9" s="55"/>
      <c r="D9" s="55"/>
      <c r="E9" s="55"/>
      <c r="F9" s="58">
        <v>392</v>
      </c>
      <c r="G9" s="63">
        <v>2291.63</v>
      </c>
    </row>
    <row r="10" spans="1:7" x14ac:dyDescent="0.25">
      <c r="A10" s="56">
        <v>160</v>
      </c>
      <c r="B10" s="57" t="s">
        <v>28</v>
      </c>
      <c r="C10" s="55"/>
      <c r="D10" s="55"/>
      <c r="E10" s="55"/>
      <c r="F10" s="58">
        <v>105</v>
      </c>
      <c r="G10" s="63">
        <v>1117.9000000000001</v>
      </c>
    </row>
    <row r="11" spans="1:7" x14ac:dyDescent="0.25">
      <c r="A11" s="56">
        <v>170</v>
      </c>
      <c r="B11" s="57" t="s">
        <v>29</v>
      </c>
      <c r="C11" s="55"/>
      <c r="D11" s="55"/>
      <c r="E11" s="55"/>
      <c r="F11" s="55"/>
      <c r="G11" s="59">
        <v>-5</v>
      </c>
    </row>
    <row r="12" spans="1:7" x14ac:dyDescent="0.25">
      <c r="A12" s="56">
        <v>180</v>
      </c>
      <c r="B12" s="57" t="s">
        <v>30</v>
      </c>
      <c r="C12" s="55"/>
      <c r="D12" s="55"/>
      <c r="E12" s="55"/>
      <c r="F12" s="58">
        <v>120</v>
      </c>
      <c r="G12" s="60">
        <v>371.1</v>
      </c>
    </row>
    <row r="13" spans="1:7" x14ac:dyDescent="0.25">
      <c r="A13" s="56">
        <v>190</v>
      </c>
      <c r="B13" s="57" t="s">
        <v>31</v>
      </c>
      <c r="C13" s="55"/>
      <c r="D13" s="55"/>
      <c r="E13" s="55"/>
      <c r="F13" s="58">
        <v>127</v>
      </c>
      <c r="G13" s="60">
        <v>852.7</v>
      </c>
    </row>
    <row r="14" spans="1:7" x14ac:dyDescent="0.25">
      <c r="A14" s="56">
        <v>210</v>
      </c>
      <c r="B14" s="57" t="s">
        <v>32</v>
      </c>
      <c r="C14" s="55"/>
      <c r="D14" s="55"/>
      <c r="E14" s="55"/>
      <c r="F14" s="58">
        <v>1006</v>
      </c>
      <c r="G14" s="63">
        <v>8169.94</v>
      </c>
    </row>
    <row r="15" spans="1:7" x14ac:dyDescent="0.25">
      <c r="A15" s="56">
        <v>220</v>
      </c>
      <c r="B15" s="57" t="s">
        <v>33</v>
      </c>
      <c r="C15" s="55"/>
      <c r="D15" s="55"/>
      <c r="E15" s="55"/>
      <c r="F15" s="58">
        <v>648</v>
      </c>
      <c r="G15" s="63">
        <v>2505.67</v>
      </c>
    </row>
    <row r="16" spans="1:7" x14ac:dyDescent="0.25">
      <c r="A16" s="56">
        <v>230</v>
      </c>
      <c r="B16" s="57" t="s">
        <v>34</v>
      </c>
      <c r="C16" s="55"/>
      <c r="D16" s="55"/>
      <c r="E16" s="55"/>
      <c r="F16" s="58">
        <v>6</v>
      </c>
      <c r="G16" s="60">
        <v>264.33999999999997</v>
      </c>
    </row>
    <row r="17" spans="1:7" x14ac:dyDescent="0.25">
      <c r="A17" s="56">
        <v>235</v>
      </c>
      <c r="B17" s="57" t="s">
        <v>59</v>
      </c>
      <c r="C17" s="55"/>
      <c r="D17" s="55"/>
      <c r="E17" s="55"/>
      <c r="F17" s="58">
        <v>42</v>
      </c>
      <c r="G17" s="60">
        <v>509.58</v>
      </c>
    </row>
    <row r="18" spans="1:7" x14ac:dyDescent="0.25">
      <c r="A18" s="56">
        <v>240</v>
      </c>
      <c r="B18" s="57" t="s">
        <v>35</v>
      </c>
      <c r="C18" s="55"/>
      <c r="D18" s="55"/>
      <c r="E18" s="55"/>
      <c r="F18" s="58">
        <v>181</v>
      </c>
      <c r="G18" s="60">
        <v>645.79999999999995</v>
      </c>
    </row>
    <row r="19" spans="1:7" x14ac:dyDescent="0.25">
      <c r="A19" s="56">
        <v>250</v>
      </c>
      <c r="B19" s="57" t="s">
        <v>36</v>
      </c>
      <c r="C19" s="55"/>
      <c r="D19" s="55"/>
      <c r="E19" s="55"/>
      <c r="F19" s="58">
        <v>4</v>
      </c>
      <c r="G19" s="61">
        <v>15.96</v>
      </c>
    </row>
    <row r="20" spans="1:7" x14ac:dyDescent="0.25">
      <c r="A20" s="56">
        <v>310</v>
      </c>
      <c r="B20" s="57" t="s">
        <v>37</v>
      </c>
      <c r="C20" s="55"/>
      <c r="D20" s="55"/>
      <c r="E20" s="55"/>
      <c r="F20" s="58">
        <v>775</v>
      </c>
      <c r="G20" s="63">
        <v>4333.2700000000004</v>
      </c>
    </row>
    <row r="21" spans="1:7" x14ac:dyDescent="0.25">
      <c r="A21" s="56">
        <v>320</v>
      </c>
      <c r="B21" s="57" t="s">
        <v>38</v>
      </c>
      <c r="C21" s="55"/>
      <c r="D21" s="55"/>
      <c r="E21" s="55"/>
      <c r="F21" s="58">
        <v>747</v>
      </c>
      <c r="G21" s="63">
        <v>7614.65</v>
      </c>
    </row>
    <row r="22" spans="1:7" x14ac:dyDescent="0.25">
      <c r="A22" s="56">
        <v>330</v>
      </c>
      <c r="B22" s="57" t="s">
        <v>39</v>
      </c>
      <c r="C22" s="55"/>
      <c r="D22" s="55"/>
      <c r="E22" s="55"/>
      <c r="F22" s="58">
        <v>151</v>
      </c>
      <c r="G22" s="63">
        <v>1273.4100000000001</v>
      </c>
    </row>
    <row r="23" spans="1:7" x14ac:dyDescent="0.25">
      <c r="A23" s="56">
        <v>340</v>
      </c>
      <c r="B23" s="57" t="s">
        <v>40</v>
      </c>
      <c r="C23" s="55"/>
      <c r="D23" s="55"/>
      <c r="E23" s="55"/>
      <c r="F23" s="58">
        <v>149</v>
      </c>
      <c r="G23" s="63">
        <v>2290.42</v>
      </c>
    </row>
    <row r="24" spans="1:7" x14ac:dyDescent="0.25">
      <c r="A24" s="56">
        <v>350</v>
      </c>
      <c r="B24" s="57" t="s">
        <v>41</v>
      </c>
      <c r="C24" s="55"/>
      <c r="D24" s="55"/>
      <c r="E24" s="55"/>
      <c r="F24" s="58">
        <v>122</v>
      </c>
      <c r="G24" s="63">
        <v>1217.98</v>
      </c>
    </row>
    <row r="25" spans="1:7" x14ac:dyDescent="0.25">
      <c r="A25" s="56">
        <v>410</v>
      </c>
      <c r="B25" s="57" t="s">
        <v>42</v>
      </c>
      <c r="C25" s="55"/>
      <c r="D25" s="55"/>
      <c r="E25" s="55"/>
      <c r="F25" s="58">
        <v>4729</v>
      </c>
      <c r="G25" s="62">
        <v>16003.36</v>
      </c>
    </row>
    <row r="26" spans="1:7" x14ac:dyDescent="0.25">
      <c r="A26" s="56">
        <v>420</v>
      </c>
      <c r="B26" s="57" t="s">
        <v>43</v>
      </c>
      <c r="C26" s="55"/>
      <c r="D26" s="55"/>
      <c r="E26" s="55"/>
      <c r="F26" s="58">
        <v>453</v>
      </c>
      <c r="G26" s="63">
        <v>2261.2600000000002</v>
      </c>
    </row>
    <row r="27" spans="1:7" x14ac:dyDescent="0.25">
      <c r="A27" s="56">
        <v>510</v>
      </c>
      <c r="B27" s="57" t="s">
        <v>44</v>
      </c>
      <c r="C27" s="55"/>
      <c r="D27" s="55"/>
      <c r="E27" s="55"/>
      <c r="F27" s="58">
        <v>378</v>
      </c>
      <c r="G27" s="63">
        <v>3039.69</v>
      </c>
    </row>
    <row r="28" spans="1:7" x14ac:dyDescent="0.25">
      <c r="A28" s="56">
        <v>520</v>
      </c>
      <c r="B28" s="57" t="s">
        <v>45</v>
      </c>
      <c r="C28" s="55"/>
      <c r="D28" s="55"/>
      <c r="E28" s="55"/>
      <c r="F28" s="58">
        <v>282</v>
      </c>
      <c r="G28" s="63">
        <v>5371.43</v>
      </c>
    </row>
    <row r="29" spans="1:7" x14ac:dyDescent="0.25">
      <c r="A29" s="56">
        <v>550</v>
      </c>
      <c r="B29" s="57" t="s">
        <v>48</v>
      </c>
      <c r="C29" s="55"/>
      <c r="D29" s="55"/>
      <c r="E29" s="55"/>
      <c r="F29" s="58">
        <v>2</v>
      </c>
      <c r="G29" s="61">
        <v>29.94</v>
      </c>
    </row>
    <row r="30" spans="1:7" x14ac:dyDescent="0.25">
      <c r="A30" s="56">
        <v>1300</v>
      </c>
      <c r="B30" s="57" t="s">
        <v>51</v>
      </c>
      <c r="C30" s="55"/>
      <c r="D30" s="55"/>
      <c r="E30" s="55"/>
      <c r="F30" s="58">
        <v>28</v>
      </c>
      <c r="G30" s="60">
        <v>226.81</v>
      </c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4"/>
    </sheetView>
  </sheetViews>
  <sheetFormatPr defaultRowHeight="15" x14ac:dyDescent="0.25"/>
  <sheetData>
    <row r="1" spans="1:7" x14ac:dyDescent="0.25">
      <c r="A1" s="56">
        <v>110</v>
      </c>
      <c r="B1" s="57" t="s">
        <v>22</v>
      </c>
      <c r="C1" s="55"/>
      <c r="D1" s="55"/>
      <c r="E1" s="55"/>
      <c r="F1" s="58">
        <v>24</v>
      </c>
      <c r="G1" s="61">
        <v>10.08</v>
      </c>
    </row>
    <row r="2" spans="1:7" x14ac:dyDescent="0.25">
      <c r="A2" s="56">
        <v>120</v>
      </c>
      <c r="B2" s="57" t="s">
        <v>23</v>
      </c>
      <c r="C2" s="55"/>
      <c r="D2" s="55"/>
      <c r="E2" s="55"/>
      <c r="F2" s="58">
        <v>30</v>
      </c>
      <c r="G2" s="61">
        <v>14.29</v>
      </c>
    </row>
    <row r="3" spans="1:7" x14ac:dyDescent="0.25">
      <c r="A3" s="56">
        <v>130</v>
      </c>
      <c r="B3" s="57" t="s">
        <v>24</v>
      </c>
      <c r="C3" s="55"/>
      <c r="D3" s="55"/>
      <c r="E3" s="55"/>
      <c r="F3" s="58">
        <v>3</v>
      </c>
      <c r="G3" s="59">
        <v>2.5</v>
      </c>
    </row>
    <row r="4" spans="1:7" x14ac:dyDescent="0.25">
      <c r="A4" s="56">
        <v>140</v>
      </c>
      <c r="B4" s="57" t="s">
        <v>25</v>
      </c>
      <c r="C4" s="55"/>
      <c r="D4" s="55"/>
      <c r="E4" s="55"/>
      <c r="F4" s="58">
        <v>1</v>
      </c>
      <c r="G4" s="59">
        <v>3.9</v>
      </c>
    </row>
    <row r="5" spans="1:7" x14ac:dyDescent="0.25">
      <c r="A5" s="56">
        <v>142</v>
      </c>
      <c r="B5" s="57" t="s">
        <v>26</v>
      </c>
      <c r="C5" s="55"/>
      <c r="D5" s="55"/>
      <c r="E5" s="55"/>
      <c r="F5" s="58">
        <v>154</v>
      </c>
      <c r="G5" s="55"/>
    </row>
    <row r="6" spans="1:7" x14ac:dyDescent="0.25">
      <c r="A6" s="56">
        <v>150</v>
      </c>
      <c r="B6" s="57" t="s">
        <v>27</v>
      </c>
      <c r="C6" s="55"/>
      <c r="D6" s="55"/>
      <c r="E6" s="55"/>
      <c r="F6" s="58">
        <v>35</v>
      </c>
      <c r="G6" s="61">
        <v>16.55</v>
      </c>
    </row>
    <row r="7" spans="1:7" x14ac:dyDescent="0.25">
      <c r="A7" s="56">
        <v>160</v>
      </c>
      <c r="B7" s="57" t="s">
        <v>28</v>
      </c>
      <c r="C7" s="55"/>
      <c r="D7" s="55"/>
      <c r="E7" s="55"/>
      <c r="F7" s="58">
        <v>5</v>
      </c>
      <c r="G7" s="59">
        <v>3.35</v>
      </c>
    </row>
    <row r="8" spans="1:7" x14ac:dyDescent="0.25">
      <c r="A8" s="56">
        <v>210</v>
      </c>
      <c r="B8" s="57" t="s">
        <v>32</v>
      </c>
      <c r="C8" s="55"/>
      <c r="D8" s="55"/>
      <c r="E8" s="55"/>
      <c r="F8" s="58">
        <v>19</v>
      </c>
      <c r="G8" s="55"/>
    </row>
    <row r="9" spans="1:7" x14ac:dyDescent="0.25">
      <c r="A9" s="56">
        <v>220</v>
      </c>
      <c r="B9" s="57" t="s">
        <v>33</v>
      </c>
      <c r="C9" s="55"/>
      <c r="D9" s="55"/>
      <c r="E9" s="55"/>
      <c r="F9" s="58">
        <v>2</v>
      </c>
      <c r="G9" s="59">
        <v>1.2</v>
      </c>
    </row>
    <row r="10" spans="1:7" x14ac:dyDescent="0.25">
      <c r="A10" s="56">
        <v>310</v>
      </c>
      <c r="B10" s="57" t="s">
        <v>37</v>
      </c>
      <c r="C10" s="55"/>
      <c r="D10" s="55"/>
      <c r="E10" s="55"/>
      <c r="F10" s="58">
        <v>3</v>
      </c>
      <c r="G10" s="59">
        <v>2.58</v>
      </c>
    </row>
    <row r="11" spans="1:7" x14ac:dyDescent="0.25">
      <c r="A11" s="56">
        <v>330</v>
      </c>
      <c r="B11" s="57" t="s">
        <v>39</v>
      </c>
      <c r="C11" s="55"/>
      <c r="D11" s="55"/>
      <c r="E11" s="55"/>
      <c r="F11" s="58">
        <v>4</v>
      </c>
      <c r="G11" s="59">
        <v>3.93</v>
      </c>
    </row>
    <row r="12" spans="1:7" x14ac:dyDescent="0.25">
      <c r="A12" s="56">
        <v>410</v>
      </c>
      <c r="B12" s="57" t="s">
        <v>42</v>
      </c>
      <c r="C12" s="55"/>
      <c r="D12" s="55"/>
      <c r="E12" s="55"/>
      <c r="F12" s="58">
        <v>4</v>
      </c>
      <c r="G12" s="59">
        <v>0.92</v>
      </c>
    </row>
    <row r="13" spans="1:7" x14ac:dyDescent="0.25">
      <c r="A13" s="56">
        <v>510</v>
      </c>
      <c r="B13" s="57" t="s">
        <v>44</v>
      </c>
      <c r="C13" s="55"/>
      <c r="D13" s="55"/>
      <c r="E13" s="55"/>
      <c r="F13" s="58">
        <v>2</v>
      </c>
      <c r="G13" s="59">
        <v>1.44</v>
      </c>
    </row>
    <row r="14" spans="1:7" x14ac:dyDescent="0.25">
      <c r="A14" s="56">
        <v>520</v>
      </c>
      <c r="B14" s="57" t="s">
        <v>45</v>
      </c>
      <c r="C14" s="55"/>
      <c r="D14" s="55"/>
      <c r="E14" s="55"/>
      <c r="F14" s="58">
        <v>1</v>
      </c>
      <c r="G14" s="59">
        <v>1.1100000000000001</v>
      </c>
    </row>
    <row r="15" spans="1:7" x14ac:dyDescent="0.25">
      <c r="A15" s="56"/>
      <c r="B15" s="57"/>
      <c r="C15" s="55"/>
      <c r="D15" s="55"/>
      <c r="E15" s="55"/>
      <c r="F15" s="58"/>
      <c r="G15" s="59"/>
    </row>
    <row r="16" spans="1:7" x14ac:dyDescent="0.25">
      <c r="A16" s="50"/>
      <c r="B16" s="51"/>
      <c r="C16" s="49"/>
      <c r="D16" s="49"/>
      <c r="E16" s="49"/>
      <c r="F16" s="52"/>
      <c r="G16" s="53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5"/>
      <c r="B9" s="65"/>
      <c r="C9" s="65"/>
      <c r="D9" s="65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5"/>
      <c r="B12" s="65"/>
      <c r="C12" s="65"/>
      <c r="D12" s="65"/>
      <c r="E12" s="65"/>
      <c r="F12" s="65"/>
      <c r="G12" s="65"/>
      <c r="H12" s="65"/>
    </row>
    <row r="13" spans="1:8" ht="15" customHeight="1" x14ac:dyDescent="0.25">
      <c r="A13" s="65"/>
      <c r="B13" s="65"/>
      <c r="C13" s="65"/>
      <c r="D13" s="65"/>
      <c r="E13" s="65"/>
      <c r="F13" s="22"/>
      <c r="G13" s="25"/>
    </row>
    <row r="14" spans="1:8" x14ac:dyDescent="0.25">
      <c r="A14" s="22"/>
    </row>
    <row r="15" spans="1:8" x14ac:dyDescent="0.25">
      <c r="A15" s="65"/>
      <c r="B15" s="65"/>
      <c r="C15" s="65"/>
      <c r="D15" s="65"/>
      <c r="E15" s="65"/>
      <c r="F15" s="65"/>
      <c r="G15" s="65"/>
      <c r="H15" s="65"/>
    </row>
    <row r="16" spans="1:8" ht="15" customHeight="1" x14ac:dyDescent="0.25">
      <c r="A16" s="65"/>
      <c r="B16" s="65"/>
      <c r="C16" s="65"/>
      <c r="D16" s="65"/>
      <c r="E16" s="65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5"/>
      <c r="B544" s="65"/>
      <c r="C544" s="65"/>
      <c r="D544" s="65"/>
      <c r="E544" s="65"/>
      <c r="F544" s="65"/>
      <c r="G544" s="65"/>
      <c r="H544" s="65"/>
    </row>
    <row r="545" spans="1:8" ht="15" customHeight="1" x14ac:dyDescent="0.25">
      <c r="A545" s="65"/>
      <c r="B545" s="65"/>
      <c r="C545" s="65"/>
      <c r="D545" s="65"/>
      <c r="E545" s="65"/>
      <c r="F545" s="22"/>
      <c r="G545" s="25"/>
    </row>
    <row r="546" spans="1:8" x14ac:dyDescent="0.25">
      <c r="A546" s="22"/>
    </row>
    <row r="547" spans="1:8" x14ac:dyDescent="0.25">
      <c r="A547" s="65"/>
      <c r="B547" s="65"/>
      <c r="C547" s="65"/>
      <c r="D547" s="65"/>
      <c r="E547" s="65"/>
      <c r="F547" s="65"/>
      <c r="G547" s="65"/>
      <c r="H547" s="65"/>
    </row>
    <row r="548" spans="1:8" ht="15" customHeight="1" x14ac:dyDescent="0.25">
      <c r="A548" s="65"/>
      <c r="B548" s="65"/>
      <c r="C548" s="65"/>
      <c r="D548" s="65"/>
      <c r="E548" s="65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5"/>
      <c r="B729" s="65"/>
      <c r="C729" s="65"/>
      <c r="D729" s="65"/>
      <c r="E729" s="65"/>
      <c r="F729" s="65"/>
      <c r="G729" s="65"/>
      <c r="H729" s="65"/>
    </row>
    <row r="730" spans="1:8" ht="15" customHeight="1" x14ac:dyDescent="0.25">
      <c r="A730" s="65"/>
      <c r="B730" s="65"/>
      <c r="C730" s="65"/>
      <c r="D730" s="65"/>
      <c r="E730" s="65"/>
      <c r="F730" s="22"/>
      <c r="G730" s="25"/>
    </row>
    <row r="731" spans="1:8" x14ac:dyDescent="0.25">
      <c r="A731" s="22"/>
    </row>
    <row r="732" spans="1:8" x14ac:dyDescent="0.25">
      <c r="A732" s="65"/>
      <c r="B732" s="65"/>
      <c r="C732" s="65"/>
      <c r="D732" s="65"/>
      <c r="E732" s="65"/>
      <c r="F732" s="65"/>
      <c r="G732" s="65"/>
      <c r="H732" s="65"/>
    </row>
    <row r="733" spans="1:8" ht="15" customHeight="1" x14ac:dyDescent="0.25">
      <c r="A733" s="65"/>
      <c r="B733" s="65"/>
      <c r="C733" s="65"/>
      <c r="D733" s="65"/>
      <c r="E733" s="65"/>
      <c r="F733" s="22"/>
      <c r="G733" s="25"/>
      <c r="H733" s="22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I35" sqref="I35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4" t="s">
        <v>0</v>
      </c>
      <c r="B1" s="64"/>
      <c r="C1" s="64"/>
      <c r="D1" s="64"/>
      <c r="E1" s="64"/>
      <c r="F1" s="64"/>
      <c r="G1" s="64"/>
      <c r="I1" s="17" t="s">
        <v>54</v>
      </c>
      <c r="J1" s="18">
        <f>G10</f>
        <v>-655</v>
      </c>
      <c r="L1" s="38" t="s">
        <v>88</v>
      </c>
      <c r="M1" s="39">
        <f>20+16+24+32</f>
        <v>92</v>
      </c>
      <c r="O1" s="45" t="s">
        <v>7</v>
      </c>
      <c r="P1" s="46"/>
    </row>
    <row r="2" spans="1:16" ht="18.75" x14ac:dyDescent="0.4">
      <c r="A2" s="64"/>
      <c r="B2" s="64"/>
      <c r="C2" s="64"/>
      <c r="D2" s="64"/>
      <c r="E2" s="64"/>
      <c r="F2" s="64"/>
      <c r="G2" s="64"/>
      <c r="I2" s="13" t="s">
        <v>60</v>
      </c>
      <c r="J2" s="14">
        <f>D54*-1</f>
        <v>-61.849999999999994</v>
      </c>
      <c r="L2" s="40" t="s">
        <v>61</v>
      </c>
      <c r="M2" s="38">
        <f>J1+M1</f>
        <v>-563</v>
      </c>
      <c r="O2" s="45" t="s">
        <v>91</v>
      </c>
      <c r="P2" s="46"/>
    </row>
    <row r="3" spans="1:16" ht="18.75" x14ac:dyDescent="0.4">
      <c r="A3" s="64"/>
      <c r="B3" s="64"/>
      <c r="C3" s="64"/>
      <c r="D3" s="64"/>
      <c r="E3" s="64"/>
      <c r="F3" s="64"/>
      <c r="G3" s="64"/>
      <c r="I3" s="15" t="s">
        <v>53</v>
      </c>
      <c r="J3" s="16">
        <f>G54+J1+J2</f>
        <v>99028.089999999967</v>
      </c>
      <c r="O3" s="45" t="s">
        <v>89</v>
      </c>
      <c r="P3" s="54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1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-655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7">
        <f>C10+D10</f>
        <v>-655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10.7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7">
        <f t="shared" si="0"/>
        <v>10.7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5.6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7">
        <f t="shared" si="0"/>
        <v>5.6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14209.78</v>
      </c>
      <c r="D22" s="3">
        <f>IFERROR(INDEX('SubDept Coupon (Local Discount)'!G$1:G$100,MATCH('SubDept Sales Report'!A22,'SubDept Coupon (Local Discount)'!A$1:A$100,0)),0)</f>
        <v>10.08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66">
        <f t="shared" si="0"/>
        <v>14219.86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11327.54</v>
      </c>
      <c r="D23" s="3">
        <f>IFERROR(INDEX('SubDept Coupon (Local Discount)'!G$1:G$100,MATCH('SubDept Sales Report'!A23,'SubDept Coupon (Local Discount)'!A$1:A$100,0)),0)</f>
        <v>14.29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66">
        <f t="shared" si="0"/>
        <v>11341.830000000002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3239.38</v>
      </c>
      <c r="D24" s="3">
        <f>IFERROR(INDEX('SubDept Coupon (Local Discount)'!G$1:G$100,MATCH('SubDept Sales Report'!A24,'SubDept Coupon (Local Discount)'!A$1:A$100,0)),0)</f>
        <v>2.5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66">
        <f t="shared" si="0"/>
        <v>3241.88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9460.6200000000008</v>
      </c>
      <c r="D25" s="3">
        <f>IFERROR(INDEX('SubDept Coupon (Local Discount)'!G$1:G$100,MATCH('SubDept Sales Report'!A25,'SubDept Coupon (Local Discount)'!A$1:A$100,0)),0)</f>
        <v>3.9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66">
        <f t="shared" si="0"/>
        <v>9464.52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1027.6300000000001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66">
        <f t="shared" si="0"/>
        <v>1027.6300000000001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2291.63</v>
      </c>
      <c r="D27" s="3">
        <f>IFERROR(INDEX('SubDept Coupon (Local Discount)'!G$1:G$100,MATCH('SubDept Sales Report'!A27,'SubDept Coupon (Local Discount)'!A$1:A$100,0)),0)</f>
        <v>16.55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66">
        <f t="shared" si="0"/>
        <v>2308.1800000000003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1117.9000000000001</v>
      </c>
      <c r="D28" s="3">
        <f>IFERROR(INDEX('SubDept Coupon (Local Discount)'!G$1:G$100,MATCH('SubDept Sales Report'!A28,'SubDept Coupon (Local Discount)'!A$1:A$100,0)),0)</f>
        <v>3.35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66">
        <f t="shared" si="0"/>
        <v>1121.25</v>
      </c>
      <c r="I28" s="12"/>
      <c r="J28" s="3"/>
      <c r="K28" s="3"/>
    </row>
    <row r="29" spans="1:1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-5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68">
        <f t="shared" si="0"/>
        <v>-5</v>
      </c>
      <c r="H29">
        <v>7210410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371.1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66">
        <f t="shared" si="0"/>
        <v>371.1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852.7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66">
        <f t="shared" si="0"/>
        <v>852.7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8169.94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66">
        <f t="shared" si="0"/>
        <v>8169.94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2505.67</v>
      </c>
      <c r="D33" s="3">
        <f>IFERROR(INDEX('SubDept Coupon (Local Discount)'!G$1:G$100,MATCH('SubDept Sales Report'!A33,'SubDept Coupon (Local Discount)'!A$1:A$100,0)),0)</f>
        <v>1.2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66">
        <f t="shared" si="0"/>
        <v>2506.87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264.33999999999997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66">
        <f>C34+D34</f>
        <v>264.33999999999997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509.58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66">
        <f t="shared" si="0"/>
        <v>509.58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645.79999999999995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66">
        <f t="shared" si="0"/>
        <v>645.79999999999995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15.96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68">
        <f t="shared" si="0"/>
        <v>15.96</v>
      </c>
      <c r="H37">
        <v>7210410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4333.2700000000004</v>
      </c>
      <c r="D39" s="3">
        <f>IFERROR(INDEX('SubDept Coupon (Local Discount)'!G$1:G$100,MATCH('SubDept Sales Report'!A39,'SubDept Coupon (Local Discount)'!A$1:A$100,0)),0)</f>
        <v>2.58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66">
        <f t="shared" si="0"/>
        <v>4335.8500000000004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7614.65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66">
        <f t="shared" si="0"/>
        <v>7614.65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1273.4100000000001</v>
      </c>
      <c r="D41" s="3">
        <f>IFERROR(INDEX('SubDept Coupon (Local Discount)'!G$1:G$100,MATCH('SubDept Sales Report'!A41,'SubDept Coupon (Local Discount)'!A$1:A$100,0)),0)</f>
        <v>3.93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66">
        <f t="shared" si="0"/>
        <v>1277.3400000000001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2290.42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66">
        <f t="shared" si="0"/>
        <v>2290.42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1217.98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66">
        <f t="shared" si="0"/>
        <v>1217.98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16003.36</v>
      </c>
      <c r="D44" s="3">
        <f>IFERROR(INDEX('SubDept Coupon (Local Discount)'!G$1:G$100,MATCH('SubDept Sales Report'!A44,'SubDept Coupon (Local Discount)'!A$1:A$100,0)),0)</f>
        <v>0.92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66">
        <f t="shared" si="0"/>
        <v>16004.28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2261.2600000000002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66">
        <f t="shared" si="0"/>
        <v>2261.2600000000002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3039.69</v>
      </c>
      <c r="D46" s="3">
        <f>IFERROR(INDEX('SubDept Coupon (Local Discount)'!G$1:G$100,MATCH('SubDept Sales Report'!A46,'SubDept Coupon (Local Discount)'!A$1:A$100,0)),0)</f>
        <v>1.44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66">
        <f t="shared" si="0"/>
        <v>3041.13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5371.43</v>
      </c>
      <c r="D47" s="3">
        <f>IFERROR(INDEX('SubDept Coupon (Local Discount)'!G$1:G$100,MATCH('SubDept Sales Report'!A47,'SubDept Coupon (Local Discount)'!A$1:A$100,0)),0)</f>
        <v>1.1100000000000001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66">
        <f t="shared" si="0"/>
        <v>5372.54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29.94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66">
        <f t="shared" si="0"/>
        <v>29.94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226.81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66">
        <f t="shared" si="0"/>
        <v>226.81</v>
      </c>
      <c r="I53" s="12"/>
      <c r="J53" s="3"/>
      <c r="K53" s="3"/>
    </row>
    <row r="54" spans="1:11" x14ac:dyDescent="0.25">
      <c r="B54" s="19" t="s">
        <v>52</v>
      </c>
      <c r="C54" s="3">
        <f>SUM(C5:C53)</f>
        <v>99028.09</v>
      </c>
      <c r="D54" s="11">
        <f>SUM(D5:D53)</f>
        <v>61.849999999999994</v>
      </c>
      <c r="E54" s="11">
        <f>SUM(E5:E53)</f>
        <v>0</v>
      </c>
      <c r="F54" s="11">
        <f>SUM(F5:F53)</f>
        <v>0</v>
      </c>
      <c r="G54" s="67">
        <f>SUM(G11:G53,G9,G8,G7,G6,G5)</f>
        <v>99744.939999999973</v>
      </c>
      <c r="I54" s="12"/>
      <c r="J54" s="3"/>
      <c r="K54" s="3"/>
    </row>
  </sheetData>
  <autoFilter ref="A4:G54" xr:uid="{459199FD-0CD3-4C93-B98C-3BA614742282}">
    <filterColumn colId="6">
      <filters>
        <filter val="$(5.00)"/>
        <filter val="$(655.00)"/>
        <filter val="$1,027.63"/>
        <filter val="$1,121.25"/>
        <filter val="$1,217.98"/>
        <filter val="$1,277.34"/>
        <filter val="$10.70"/>
        <filter val="$11,341.83"/>
        <filter val="$14,219.86"/>
        <filter val="$15.96"/>
        <filter val="$16,004.28"/>
        <filter val="$2,261.26"/>
        <filter val="$2,290.42"/>
        <filter val="$2,308.18"/>
        <filter val="$2,506.87"/>
        <filter val="$226.81"/>
        <filter val="$264.34"/>
        <filter val="$29.94"/>
        <filter val="$3,041.13"/>
        <filter val="$3,241.88"/>
        <filter val="$371.10"/>
        <filter val="$4,335.85"/>
        <filter val="$5,372.54"/>
        <filter val="$5.60"/>
        <filter val="$509.58"/>
        <filter val="$645.80"/>
        <filter val="$7,614.65"/>
        <filter val="$8,169.94"/>
        <filter val="$852.70"/>
        <filter val="$9,464.52"/>
        <filter val="$99,744.94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Karl Cruz</cp:lastModifiedBy>
  <cp:lastPrinted>2025-01-20T20:49:57Z</cp:lastPrinted>
  <dcterms:created xsi:type="dcterms:W3CDTF">2019-02-06T18:14:04Z</dcterms:created>
  <dcterms:modified xsi:type="dcterms:W3CDTF">2026-07-06T17:48:54Z</dcterms:modified>
</cp:coreProperties>
</file>