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E1D6A105-F938-4E05-98F1-851D8D9E3F85}" xr6:coauthVersionLast="47" xr6:coauthVersionMax="47" xr10:uidLastSave="{00000000-0000-0000-0000-000000000000}"/>
  <bookViews>
    <workbookView xWindow="-120" yWindow="-120" windowWidth="29040" windowHeight="157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M1" i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<sst xmlns="http://schemas.openxmlformats.org/spreadsheetml/2006/main" count="139" uniqueCount="92">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</sst>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  <xf numFmtId="0" fontId="20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0" fontId="0" fillId="0" borderId="0" xfId="3" applyNumberFormat="1" applyFont="1"/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37974C88-F528-4695-BB44-BB0636B4AE3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1"/>
    </sheetView>
  </sheetViews>
  <sheetFormatPr defaultRowHeight="15" x14ac:dyDescent="0.25"/>
  <cols>
    <col min="2" max="2" width="14.7109375" bestFit="1" customWidth="1"/>
  </cols>
  <sheetData>
    <row r="1" spans="1:7" x14ac:dyDescent="0.25">
      <c r="A1" s="59">
        <v>23</v>
      </c>
      <c r="B1" s="60" t="s">
        <v>7</v>
      </c>
      <c r="C1" s="58"/>
      <c r="D1" s="58"/>
      <c r="E1" s="58"/>
      <c r="F1" s="61">
        <v>-1</v>
      </c>
      <c r="G1" s="62">
        <v>-2</v>
      </c>
    </row>
    <row r="2" spans="1:7" x14ac:dyDescent="0.25">
      <c r="A2" s="59">
        <v>27</v>
      </c>
      <c r="B2" s="60" t="s">
        <v>11</v>
      </c>
      <c r="C2" s="58"/>
      <c r="D2" s="58"/>
      <c r="E2" s="58"/>
      <c r="F2" s="58"/>
      <c r="G2" s="63">
        <v>-384</v>
      </c>
    </row>
    <row r="3" spans="1:7" x14ac:dyDescent="0.25">
      <c r="A3" s="59">
        <v>28</v>
      </c>
      <c r="B3" s="60" t="s">
        <v>12</v>
      </c>
      <c r="C3" s="58"/>
      <c r="D3" s="58"/>
      <c r="E3" s="58"/>
      <c r="F3" s="61">
        <v>80</v>
      </c>
      <c r="G3" s="62">
        <v>8</v>
      </c>
    </row>
    <row r="4" spans="1:7" x14ac:dyDescent="0.25">
      <c r="A4" s="59">
        <v>38</v>
      </c>
      <c r="B4" s="60" t="s">
        <v>55</v>
      </c>
      <c r="C4" s="58"/>
      <c r="D4" s="58"/>
      <c r="E4" s="58"/>
      <c r="F4" s="61">
        <v>81</v>
      </c>
      <c r="G4" s="62">
        <v>4.05</v>
      </c>
    </row>
    <row r="5" spans="1:7" x14ac:dyDescent="0.25">
      <c r="A5" s="59">
        <v>110</v>
      </c>
      <c r="B5" s="60" t="s">
        <v>22</v>
      </c>
      <c r="C5" s="58"/>
      <c r="D5" s="58"/>
      <c r="E5" s="58"/>
      <c r="F5" s="61">
        <v>3014</v>
      </c>
      <c r="G5" s="64">
        <v>14414.24</v>
      </c>
    </row>
    <row r="6" spans="1:7" x14ac:dyDescent="0.25">
      <c r="A6" s="59">
        <v>120</v>
      </c>
      <c r="B6" s="60" t="s">
        <v>23</v>
      </c>
      <c r="C6" s="58"/>
      <c r="D6" s="58"/>
      <c r="E6" s="58"/>
      <c r="F6" s="61">
        <v>2155</v>
      </c>
      <c r="G6" s="64">
        <v>10394.25</v>
      </c>
    </row>
    <row r="7" spans="1:7" x14ac:dyDescent="0.25">
      <c r="A7" s="59">
        <v>130</v>
      </c>
      <c r="B7" s="60" t="s">
        <v>24</v>
      </c>
      <c r="C7" s="58"/>
      <c r="D7" s="58"/>
      <c r="E7" s="58"/>
      <c r="F7" s="61">
        <v>430</v>
      </c>
      <c r="G7" s="66">
        <v>2826.35</v>
      </c>
    </row>
    <row r="8" spans="1:7" x14ac:dyDescent="0.25">
      <c r="A8" s="59">
        <v>140</v>
      </c>
      <c r="B8" s="60" t="s">
        <v>25</v>
      </c>
      <c r="C8" s="58"/>
      <c r="D8" s="58"/>
      <c r="E8" s="58"/>
      <c r="F8" s="61">
        <v>1275</v>
      </c>
      <c r="G8" s="66">
        <v>8880.82</v>
      </c>
    </row>
    <row r="9" spans="1:7" x14ac:dyDescent="0.25">
      <c r="A9" s="59">
        <v>142</v>
      </c>
      <c r="B9" s="60" t="s">
        <v>26</v>
      </c>
      <c r="C9" s="58"/>
      <c r="D9" s="58"/>
      <c r="E9" s="58"/>
      <c r="F9" s="61">
        <v>170</v>
      </c>
      <c r="G9" s="63">
        <v>703.16</v>
      </c>
    </row>
    <row r="10" spans="1:7" x14ac:dyDescent="0.25">
      <c r="A10" s="59">
        <v>150</v>
      </c>
      <c r="B10" s="60" t="s">
        <v>27</v>
      </c>
      <c r="C10" s="58"/>
      <c r="D10" s="58"/>
      <c r="E10" s="58"/>
      <c r="F10" s="61">
        <v>364</v>
      </c>
      <c r="G10" s="66">
        <v>2133.61</v>
      </c>
    </row>
    <row r="11" spans="1:7" x14ac:dyDescent="0.25">
      <c r="A11" s="59">
        <v>160</v>
      </c>
      <c r="B11" s="60" t="s">
        <v>28</v>
      </c>
      <c r="C11" s="58"/>
      <c r="D11" s="58"/>
      <c r="E11" s="58"/>
      <c r="F11" s="61">
        <v>87</v>
      </c>
      <c r="G11" s="63">
        <v>797.66</v>
      </c>
    </row>
    <row r="12" spans="1:7" x14ac:dyDescent="0.25">
      <c r="A12" s="59">
        <v>170</v>
      </c>
      <c r="B12" s="60" t="s">
        <v>29</v>
      </c>
      <c r="C12" s="58"/>
      <c r="D12" s="58"/>
      <c r="E12" s="58"/>
      <c r="F12" s="58"/>
      <c r="G12" s="58"/>
    </row>
    <row r="13" spans="1:7" x14ac:dyDescent="0.25">
      <c r="A13" s="59">
        <v>180</v>
      </c>
      <c r="B13" s="60" t="s">
        <v>30</v>
      </c>
      <c r="C13" s="58"/>
      <c r="D13" s="58"/>
      <c r="E13" s="58"/>
      <c r="F13" s="61">
        <v>65</v>
      </c>
      <c r="G13" s="63">
        <v>214.57</v>
      </c>
    </row>
    <row r="14" spans="1:7" x14ac:dyDescent="0.25">
      <c r="A14" s="59">
        <v>190</v>
      </c>
      <c r="B14" s="60" t="s">
        <v>31</v>
      </c>
      <c r="C14" s="58"/>
      <c r="D14" s="58"/>
      <c r="E14" s="58"/>
      <c r="F14" s="61">
        <v>110</v>
      </c>
      <c r="G14" s="63">
        <v>784.4</v>
      </c>
    </row>
    <row r="15" spans="1:7" x14ac:dyDescent="0.25">
      <c r="A15" s="59">
        <v>210</v>
      </c>
      <c r="B15" s="60" t="s">
        <v>32</v>
      </c>
      <c r="C15" s="58"/>
      <c r="D15" s="58"/>
      <c r="E15" s="58"/>
      <c r="F15" s="61">
        <v>999</v>
      </c>
      <c r="G15" s="66">
        <v>8621.0400000000009</v>
      </c>
    </row>
    <row r="16" spans="1:7" x14ac:dyDescent="0.25">
      <c r="A16" s="59">
        <v>220</v>
      </c>
      <c r="B16" s="60" t="s">
        <v>33</v>
      </c>
      <c r="C16" s="58"/>
      <c r="D16" s="58"/>
      <c r="E16" s="58"/>
      <c r="F16" s="61">
        <v>566</v>
      </c>
      <c r="G16" s="66">
        <v>1966.1</v>
      </c>
    </row>
    <row r="17" spans="1:7" x14ac:dyDescent="0.25">
      <c r="A17" s="59">
        <v>230</v>
      </c>
      <c r="B17" s="60" t="s">
        <v>34</v>
      </c>
      <c r="C17" s="58"/>
      <c r="D17" s="58"/>
      <c r="E17" s="58"/>
      <c r="F17" s="61">
        <v>12</v>
      </c>
      <c r="G17" s="63">
        <v>902.65</v>
      </c>
    </row>
    <row r="18" spans="1:7" x14ac:dyDescent="0.25">
      <c r="A18" s="59">
        <v>235</v>
      </c>
      <c r="B18" s="60" t="s">
        <v>59</v>
      </c>
      <c r="C18" s="58"/>
      <c r="D18" s="58"/>
      <c r="E18" s="58"/>
      <c r="F18" s="61">
        <v>59</v>
      </c>
      <c r="G18" s="63">
        <v>757.41</v>
      </c>
    </row>
    <row r="19" spans="1:7" x14ac:dyDescent="0.25">
      <c r="A19" s="59">
        <v>240</v>
      </c>
      <c r="B19" s="60" t="s">
        <v>35</v>
      </c>
      <c r="C19" s="58"/>
      <c r="D19" s="58"/>
      <c r="E19" s="58"/>
      <c r="F19" s="61">
        <v>208</v>
      </c>
      <c r="G19" s="63">
        <v>849.24</v>
      </c>
    </row>
    <row r="20" spans="1:7" x14ac:dyDescent="0.25">
      <c r="A20" s="59">
        <v>250</v>
      </c>
      <c r="B20" s="60" t="s">
        <v>36</v>
      </c>
      <c r="C20" s="58"/>
      <c r="D20" s="58"/>
      <c r="E20" s="58"/>
      <c r="F20" s="61">
        <v>172</v>
      </c>
      <c r="G20" s="63">
        <v>936.18</v>
      </c>
    </row>
    <row r="21" spans="1:7" x14ac:dyDescent="0.25">
      <c r="A21" s="59">
        <v>310</v>
      </c>
      <c r="B21" s="60" t="s">
        <v>37</v>
      </c>
      <c r="C21" s="58"/>
      <c r="D21" s="58"/>
      <c r="E21" s="58"/>
      <c r="F21" s="61">
        <v>824</v>
      </c>
      <c r="G21" s="66">
        <v>4338.07</v>
      </c>
    </row>
    <row r="22" spans="1:7" x14ac:dyDescent="0.25">
      <c r="A22" s="59">
        <v>320</v>
      </c>
      <c r="B22" s="60" t="s">
        <v>38</v>
      </c>
      <c r="C22" s="58"/>
      <c r="D22" s="58"/>
      <c r="E22" s="58"/>
      <c r="F22" s="61">
        <v>676</v>
      </c>
      <c r="G22" s="66">
        <v>7224.44</v>
      </c>
    </row>
    <row r="23" spans="1:7" x14ac:dyDescent="0.25">
      <c r="A23" s="59">
        <v>330</v>
      </c>
      <c r="B23" s="60" t="s">
        <v>39</v>
      </c>
      <c r="C23" s="58"/>
      <c r="D23" s="58"/>
      <c r="E23" s="58"/>
      <c r="F23" s="61">
        <v>128</v>
      </c>
      <c r="G23" s="66">
        <v>1140.6400000000001</v>
      </c>
    </row>
    <row r="24" spans="1:7" x14ac:dyDescent="0.25">
      <c r="A24" s="59">
        <v>340</v>
      </c>
      <c r="B24" s="60" t="s">
        <v>40</v>
      </c>
      <c r="C24" s="58"/>
      <c r="D24" s="58"/>
      <c r="E24" s="58"/>
      <c r="F24" s="61">
        <v>143</v>
      </c>
      <c r="G24" s="66">
        <v>2006.34</v>
      </c>
    </row>
    <row r="25" spans="1:7" x14ac:dyDescent="0.25">
      <c r="A25" s="59">
        <v>350</v>
      </c>
      <c r="B25" s="60" t="s">
        <v>41</v>
      </c>
      <c r="C25" s="58"/>
      <c r="D25" s="58"/>
      <c r="E25" s="58"/>
      <c r="F25" s="61">
        <v>110</v>
      </c>
      <c r="G25" s="66">
        <v>1109.3800000000001</v>
      </c>
    </row>
    <row r="26" spans="1:7" x14ac:dyDescent="0.25">
      <c r="A26" s="59">
        <v>410</v>
      </c>
      <c r="B26" s="60" t="s">
        <v>42</v>
      </c>
      <c r="C26" s="58"/>
      <c r="D26" s="58"/>
      <c r="E26" s="58"/>
      <c r="F26" s="61">
        <v>4266</v>
      </c>
      <c r="G26" s="64">
        <v>14151.04</v>
      </c>
    </row>
    <row r="27" spans="1:7" x14ac:dyDescent="0.25">
      <c r="A27" s="59">
        <v>420</v>
      </c>
      <c r="B27" s="60" t="s">
        <v>43</v>
      </c>
      <c r="C27" s="58"/>
      <c r="D27" s="58"/>
      <c r="E27" s="58"/>
      <c r="F27" s="61">
        <v>323</v>
      </c>
      <c r="G27" s="66">
        <v>1869.07</v>
      </c>
    </row>
    <row r="28" spans="1:7" x14ac:dyDescent="0.25">
      <c r="A28" s="59">
        <v>510</v>
      </c>
      <c r="B28" s="60" t="s">
        <v>44</v>
      </c>
      <c r="C28" s="58"/>
      <c r="D28" s="58"/>
      <c r="E28" s="58"/>
      <c r="F28" s="61">
        <v>311</v>
      </c>
      <c r="G28" s="66">
        <v>2493.67</v>
      </c>
    </row>
    <row r="29" spans="1:7" x14ac:dyDescent="0.25">
      <c r="A29" s="59">
        <v>520</v>
      </c>
      <c r="B29" s="60" t="s">
        <v>45</v>
      </c>
      <c r="C29" s="58"/>
      <c r="D29" s="58"/>
      <c r="E29" s="58"/>
      <c r="F29" s="61">
        <v>310</v>
      </c>
      <c r="G29" s="66">
        <v>5887.52</v>
      </c>
    </row>
    <row r="30" spans="1:7" x14ac:dyDescent="0.25">
      <c r="A30" s="59">
        <v>550</v>
      </c>
      <c r="B30" s="60" t="s">
        <v>48</v>
      </c>
      <c r="C30" s="58"/>
      <c r="D30" s="58"/>
      <c r="E30" s="58"/>
      <c r="F30" s="61">
        <v>2</v>
      </c>
      <c r="G30" s="65">
        <v>29.98</v>
      </c>
    </row>
    <row r="31" spans="1:7" x14ac:dyDescent="0.25">
      <c r="A31" s="59">
        <v>1300</v>
      </c>
      <c r="B31" s="60" t="s">
        <v>51</v>
      </c>
      <c r="C31" s="58"/>
      <c r="D31" s="58"/>
      <c r="E31" s="58"/>
      <c r="F31" s="61">
        <v>17</v>
      </c>
      <c r="G31" s="65">
        <v>99.93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3"/>
    </sheetView>
  </sheetViews>
  <sheetFormatPr defaultRowHeight="15" x14ac:dyDescent="0.25"/>
  <sheetData>
    <row r="1" spans="1:7" x14ac:dyDescent="0.25">
      <c r="A1" s="69">
        <v>110</v>
      </c>
      <c r="B1" s="70" t="s">
        <v>22</v>
      </c>
      <c r="C1" s="68"/>
      <c r="D1" s="68"/>
      <c r="E1" s="68"/>
      <c r="F1" s="71">
        <v>26</v>
      </c>
      <c r="G1" s="72">
        <v>8.82</v>
      </c>
    </row>
    <row r="2" spans="1:7" x14ac:dyDescent="0.25">
      <c r="A2" s="69">
        <v>120</v>
      </c>
      <c r="B2" s="70" t="s">
        <v>23</v>
      </c>
      <c r="C2" s="68"/>
      <c r="D2" s="68"/>
      <c r="E2" s="68"/>
      <c r="F2" s="71">
        <v>38</v>
      </c>
      <c r="G2" s="73">
        <v>15.2</v>
      </c>
    </row>
    <row r="3" spans="1:7" x14ac:dyDescent="0.25">
      <c r="A3" s="69">
        <v>130</v>
      </c>
      <c r="B3" s="70" t="s">
        <v>24</v>
      </c>
      <c r="C3" s="68"/>
      <c r="D3" s="68"/>
      <c r="E3" s="68"/>
      <c r="F3" s="71">
        <v>4</v>
      </c>
      <c r="G3" s="72">
        <v>3.01</v>
      </c>
    </row>
    <row r="4" spans="1:7" x14ac:dyDescent="0.25">
      <c r="A4" s="69">
        <v>140</v>
      </c>
      <c r="B4" s="70" t="s">
        <v>25</v>
      </c>
      <c r="C4" s="68"/>
      <c r="D4" s="68"/>
      <c r="E4" s="68"/>
      <c r="F4" s="72">
        <v>6.08</v>
      </c>
      <c r="G4" s="72">
        <v>0.67</v>
      </c>
    </row>
    <row r="5" spans="1:7" x14ac:dyDescent="0.25">
      <c r="A5" s="69">
        <v>142</v>
      </c>
      <c r="B5" s="70" t="s">
        <v>26</v>
      </c>
      <c r="C5" s="68"/>
      <c r="D5" s="68"/>
      <c r="E5" s="68"/>
      <c r="F5" s="71">
        <v>118</v>
      </c>
      <c r="G5" s="68"/>
    </row>
    <row r="6" spans="1:7" x14ac:dyDescent="0.25">
      <c r="A6" s="69">
        <v>150</v>
      </c>
      <c r="B6" s="70" t="s">
        <v>27</v>
      </c>
      <c r="C6" s="68"/>
      <c r="D6" s="68"/>
      <c r="E6" s="68"/>
      <c r="F6" s="71">
        <v>55</v>
      </c>
      <c r="G6" s="73">
        <v>21.51</v>
      </c>
    </row>
    <row r="7" spans="1:7" x14ac:dyDescent="0.25">
      <c r="A7" s="69">
        <v>160</v>
      </c>
      <c r="B7" s="70" t="s">
        <v>28</v>
      </c>
      <c r="C7" s="68"/>
      <c r="D7" s="68"/>
      <c r="E7" s="68"/>
      <c r="F7" s="71">
        <v>10</v>
      </c>
      <c r="G7" s="72">
        <v>7.67</v>
      </c>
    </row>
    <row r="8" spans="1:7" x14ac:dyDescent="0.25">
      <c r="A8" s="69">
        <v>210</v>
      </c>
      <c r="B8" s="70" t="s">
        <v>32</v>
      </c>
      <c r="C8" s="68"/>
      <c r="D8" s="68"/>
      <c r="E8" s="68"/>
      <c r="F8" s="71">
        <v>25</v>
      </c>
      <c r="G8" s="68"/>
    </row>
    <row r="9" spans="1:7" x14ac:dyDescent="0.25">
      <c r="A9" s="69">
        <v>220</v>
      </c>
      <c r="B9" s="70" t="s">
        <v>33</v>
      </c>
      <c r="C9" s="68"/>
      <c r="D9" s="68"/>
      <c r="E9" s="68"/>
      <c r="F9" s="71">
        <v>2</v>
      </c>
      <c r="G9" s="72">
        <v>1.1499999999999999</v>
      </c>
    </row>
    <row r="10" spans="1:7" x14ac:dyDescent="0.25">
      <c r="A10" s="69">
        <v>310</v>
      </c>
      <c r="B10" s="70" t="s">
        <v>37</v>
      </c>
      <c r="C10" s="68"/>
      <c r="D10" s="68"/>
      <c r="E10" s="68"/>
      <c r="F10" s="71">
        <v>4</v>
      </c>
      <c r="G10" s="72">
        <v>2.08</v>
      </c>
    </row>
    <row r="11" spans="1:7" x14ac:dyDescent="0.25">
      <c r="A11" s="69">
        <v>330</v>
      </c>
      <c r="B11" s="70" t="s">
        <v>39</v>
      </c>
      <c r="C11" s="68"/>
      <c r="D11" s="68"/>
      <c r="E11" s="68"/>
      <c r="F11" s="71">
        <v>2</v>
      </c>
      <c r="G11" s="72">
        <v>1.1399999999999999</v>
      </c>
    </row>
    <row r="12" spans="1:7" x14ac:dyDescent="0.25">
      <c r="A12" s="69">
        <v>410</v>
      </c>
      <c r="B12" s="70" t="s">
        <v>42</v>
      </c>
      <c r="C12" s="68"/>
      <c r="D12" s="68"/>
      <c r="E12" s="68"/>
      <c r="F12" s="71">
        <v>3</v>
      </c>
      <c r="G12" s="72">
        <v>0.85</v>
      </c>
    </row>
    <row r="13" spans="1:7" x14ac:dyDescent="0.25">
      <c r="A13" s="69">
        <v>510</v>
      </c>
      <c r="B13" s="70" t="s">
        <v>44</v>
      </c>
      <c r="C13" s="68"/>
      <c r="D13" s="68"/>
      <c r="E13" s="68"/>
      <c r="F13" s="71">
        <v>1</v>
      </c>
      <c r="G13" s="72">
        <v>0.6</v>
      </c>
    </row>
    <row r="14" spans="1:7" x14ac:dyDescent="0.25">
      <c r="A14" s="52"/>
      <c r="B14" s="53"/>
      <c r="C14" s="51"/>
      <c r="D14" s="51"/>
      <c r="E14" s="51"/>
      <c r="F14" s="54"/>
      <c r="G14" s="55"/>
    </row>
    <row r="15" spans="1:7" x14ac:dyDescent="0.25">
      <c r="A15" s="52"/>
      <c r="B15" s="53"/>
      <c r="C15" s="51"/>
      <c r="D15" s="51"/>
      <c r="E15" s="51"/>
      <c r="F15" s="54"/>
      <c r="G15" s="55"/>
    </row>
    <row r="16" spans="1:7" x14ac:dyDescent="0.25">
      <c r="A16" s="46"/>
      <c r="B16" s="47"/>
      <c r="C16" s="45"/>
      <c r="D16" s="45"/>
      <c r="E16" s="45"/>
      <c r="F16" s="48"/>
      <c r="G16" s="49"/>
    </row>
    <row r="17" spans="1:7" x14ac:dyDescent="0.25">
      <c r="A17" s="46"/>
      <c r="B17" s="47"/>
      <c r="C17" s="45"/>
      <c r="D17" s="45"/>
      <c r="E17" s="45"/>
      <c r="F17" s="48"/>
      <c r="G17" s="49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56"/>
      <c r="B9" s="56"/>
      <c r="C9" s="56"/>
      <c r="D9" s="56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18"/>
      <c r="G13" s="21"/>
    </row>
    <row r="14" spans="1:8" x14ac:dyDescent="0.25">
      <c r="A14" s="18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18"/>
      <c r="G545" s="21"/>
    </row>
    <row r="546" spans="1:8" x14ac:dyDescent="0.25">
      <c r="A546" s="18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18"/>
      <c r="G730" s="21"/>
    </row>
    <row r="731" spans="1:8" x14ac:dyDescent="0.25">
      <c r="A731" s="18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18"/>
      <c r="G733" s="21"/>
      <c r="H733" s="18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G22" sqref="G22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57" t="s">
        <v>0</v>
      </c>
      <c r="B1" s="57"/>
      <c r="C1" s="57"/>
      <c r="D1" s="57"/>
      <c r="E1" s="57"/>
      <c r="F1" s="57"/>
      <c r="G1" s="57"/>
      <c r="I1" s="15" t="s">
        <v>54</v>
      </c>
      <c r="J1" s="16">
        <f>G10</f>
        <v>-384</v>
      </c>
      <c r="L1" s="35" t="s">
        <v>88</v>
      </c>
      <c r="M1" s="36">
        <f>22+12+12+8</f>
        <v>54</v>
      </c>
      <c r="O1" s="41" t="s">
        <v>7</v>
      </c>
      <c r="P1" s="42"/>
    </row>
    <row r="2" spans="1:16" ht="18.75" x14ac:dyDescent="0.4">
      <c r="A2" s="57"/>
      <c r="B2" s="57"/>
      <c r="C2" s="57"/>
      <c r="D2" s="57"/>
      <c r="E2" s="57"/>
      <c r="F2" s="57"/>
      <c r="G2" s="57"/>
      <c r="I2" s="11" t="s">
        <v>60</v>
      </c>
      <c r="J2" s="12">
        <f>D54*-1</f>
        <v>-62.70000000000001</v>
      </c>
      <c r="L2" s="37" t="s">
        <v>61</v>
      </c>
      <c r="M2" s="35">
        <f>J1+M1</f>
        <v>-330</v>
      </c>
      <c r="O2" s="41" t="s">
        <v>91</v>
      </c>
      <c r="P2" s="42"/>
    </row>
    <row r="3" spans="1:16" ht="18.75" x14ac:dyDescent="0.4">
      <c r="A3" s="57"/>
      <c r="B3" s="57"/>
      <c r="C3" s="57"/>
      <c r="D3" s="57"/>
      <c r="E3" s="57"/>
      <c r="F3" s="57"/>
      <c r="G3" s="57"/>
      <c r="I3" s="13" t="s">
        <v>53</v>
      </c>
      <c r="J3" s="14">
        <f>G54+J1+J2</f>
        <v>95157.810000000012</v>
      </c>
      <c r="O3" s="41" t="s">
        <v>89</v>
      </c>
      <c r="P3" s="50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3" t="s">
        <v>90</v>
      </c>
      <c r="P4" s="44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0</v>
      </c>
      <c r="I5" s="5"/>
      <c r="J5" s="23"/>
      <c r="K5" s="5"/>
    </row>
    <row r="6" spans="1:16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-2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-2</v>
      </c>
      <c r="H6">
        <v>110</v>
      </c>
      <c r="I6" s="3"/>
      <c r="J6" s="39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8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-384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3">
        <f>C10+D10</f>
        <v>-384</v>
      </c>
      <c r="J10" s="39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8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3">
        <f t="shared" si="0"/>
        <v>8</v>
      </c>
      <c r="J11" s="40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4.05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67">
        <f t="shared" si="0"/>
        <v>4.05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14414.24</v>
      </c>
      <c r="D22" s="3">
        <f>IFERROR(INDEX('SubDept Coupon (Local Discount)'!G$1:G$100,MATCH('SubDept Sales Report'!A22,'SubDept Coupon (Local Discount)'!A$1:A$100,0)),0)</f>
        <v>8.82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7">
        <f t="shared" si="0"/>
        <v>14423.06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10394.25</v>
      </c>
      <c r="D23" s="3">
        <f>IFERROR(INDEX('SubDept Coupon (Local Discount)'!G$1:G$100,MATCH('SubDept Sales Report'!A23,'SubDept Coupon (Local Discount)'!A$1:A$100,0)),0)</f>
        <v>15.2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7">
        <f>(C23+D23)-E23-F23</f>
        <v>10409.450000000001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2826.35</v>
      </c>
      <c r="D24" s="3">
        <f>IFERROR(INDEX('SubDept Coupon (Local Discount)'!G$1:G$100,MATCH('SubDept Sales Report'!A24,'SubDept Coupon (Local Discount)'!A$1:A$100,0)),0)</f>
        <v>3.01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7">
        <f t="shared" si="0"/>
        <v>2829.36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8880.82</v>
      </c>
      <c r="D25" s="3">
        <f>IFERROR(INDEX('SubDept Coupon (Local Discount)'!G$1:G$100,MATCH('SubDept Sales Report'!A25,'SubDept Coupon (Local Discount)'!A$1:A$100,0)),0)</f>
        <v>0.67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7">
        <f t="shared" si="0"/>
        <v>8881.49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703.16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7">
        <f t="shared" si="0"/>
        <v>703.16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2133.61</v>
      </c>
      <c r="D27" s="3">
        <f>IFERROR(INDEX('SubDept Coupon (Local Discount)'!G$1:G$100,MATCH('SubDept Sales Report'!A27,'SubDept Coupon (Local Discount)'!A$1:A$100,0)),0)</f>
        <v>21.51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7">
        <f t="shared" si="0"/>
        <v>2155.1200000000003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797.66</v>
      </c>
      <c r="D28" s="3">
        <f>IFERROR(INDEX('SubDept Coupon (Local Discount)'!G$1:G$100,MATCH('SubDept Sales Report'!A28,'SubDept Coupon (Local Discount)'!A$1:A$100,0)),0)</f>
        <v>7.67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7">
        <f t="shared" si="0"/>
        <v>805.32999999999993</v>
      </c>
      <c r="I28" s="10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3">
        <f t="shared" si="0"/>
        <v>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214.57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7">
        <f t="shared" si="0"/>
        <v>214.57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784.4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7">
        <f t="shared" si="0"/>
        <v>784.4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8621.0400000000009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7">
        <f t="shared" si="0"/>
        <v>8621.0400000000009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1966.1</v>
      </c>
      <c r="D33" s="3">
        <f>IFERROR(INDEX('SubDept Coupon (Local Discount)'!G$1:G$100,MATCH('SubDept Sales Report'!A33,'SubDept Coupon (Local Discount)'!A$1:A$100,0)),0)</f>
        <v>1.1499999999999999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7">
        <f t="shared" si="0"/>
        <v>1967.25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902.65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67">
        <f>C34+D34</f>
        <v>902.65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757.41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7">
        <f t="shared" si="0"/>
        <v>757.41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849.24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7">
        <f t="shared" si="0"/>
        <v>849.24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936.18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67">
        <f t="shared" si="0"/>
        <v>936.18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4338.07</v>
      </c>
      <c r="D39" s="3">
        <f>IFERROR(INDEX('SubDept Coupon (Local Discount)'!G$1:G$100,MATCH('SubDept Sales Report'!A39,'SubDept Coupon (Local Discount)'!A$1:A$100,0)),0)</f>
        <v>2.08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7">
        <f t="shared" si="0"/>
        <v>4340.1499999999996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7224.44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7">
        <f t="shared" si="0"/>
        <v>7224.44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1140.6400000000001</v>
      </c>
      <c r="D41" s="3">
        <f>IFERROR(INDEX('SubDept Coupon (Local Discount)'!G$1:G$100,MATCH('SubDept Sales Report'!A41,'SubDept Coupon (Local Discount)'!A$1:A$100,0)),0)</f>
        <v>1.1399999999999999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7">
        <f t="shared" si="0"/>
        <v>1141.7800000000002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2006.34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7">
        <f t="shared" si="0"/>
        <v>2006.34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1109.3800000000001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7">
        <f t="shared" si="0"/>
        <v>1109.3800000000001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14151.04</v>
      </c>
      <c r="D44" s="3">
        <f>IFERROR(INDEX('SubDept Coupon (Local Discount)'!G$1:G$100,MATCH('SubDept Sales Report'!A44,'SubDept Coupon (Local Discount)'!A$1:A$100,0)),0)</f>
        <v>0.85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7">
        <f t="shared" si="0"/>
        <v>14151.890000000001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1869.07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7">
        <f t="shared" si="0"/>
        <v>1869.07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2493.67</v>
      </c>
      <c r="D46" s="3">
        <f>IFERROR(INDEX('SubDept Coupon (Local Discount)'!G$1:G$100,MATCH('SubDept Sales Report'!A46,'SubDept Coupon (Local Discount)'!A$1:A$100,0)),0)</f>
        <v>0.6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7">
        <f t="shared" si="0"/>
        <v>2494.27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5887.52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7">
        <f t="shared" si="0"/>
        <v>5887.52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29.98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67">
        <f t="shared" si="0"/>
        <v>29.98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99.93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7">
        <f t="shared" si="0"/>
        <v>99.93</v>
      </c>
      <c r="I53" s="10"/>
      <c r="J53" s="3"/>
      <c r="K53" s="3"/>
    </row>
    <row r="54" spans="1:11" x14ac:dyDescent="0.25">
      <c r="B54" s="17" t="s">
        <v>52</v>
      </c>
      <c r="C54" s="3">
        <f>SUM(C5:C53)</f>
        <v>95157.810000000012</v>
      </c>
      <c r="D54" s="9">
        <f>SUM(D5:D53)</f>
        <v>62.70000000000001</v>
      </c>
      <c r="E54" s="9">
        <f>SUM(E5:E53)</f>
        <v>0</v>
      </c>
      <c r="F54" s="9">
        <f>SUM(F5:F53)</f>
        <v>0</v>
      </c>
      <c r="G54" s="34">
        <f>SUM(G11:G53,G9,G8,G7,G6,G5)</f>
        <v>95604.510000000009</v>
      </c>
      <c r="I54" s="10"/>
      <c r="J54" s="3"/>
      <c r="K54" s="3"/>
    </row>
  </sheetData>
  <autoFilter ref="A4:G54" xr:uid="{459199FD-0CD3-4C93-B98C-3BA614742282}">
    <filterColumn colId="6">
      <filters>
        <filter val="$(2.00)"/>
        <filter val="$(384.00)"/>
        <filter val="$1,109.38"/>
        <filter val="$1,141.78"/>
        <filter val="$1,869.07"/>
        <filter val="$1,967.25"/>
        <filter val="$10,409.45"/>
        <filter val="$14,151.89"/>
        <filter val="$14,423.06"/>
        <filter val="$2,006.34"/>
        <filter val="$2,155.12"/>
        <filter val="$2,494.27"/>
        <filter val="$2,829.36"/>
        <filter val="$214.57"/>
        <filter val="$29.98"/>
        <filter val="$4,340.15"/>
        <filter val="$4.05"/>
        <filter val="$5,887.52"/>
        <filter val="$7,224.44"/>
        <filter val="$703.16"/>
        <filter val="$757.41"/>
        <filter val="$784.40"/>
        <filter val="$8,621.04"/>
        <filter val="$8,881.49"/>
        <filter val="$8.00"/>
        <filter val="$805.33"/>
        <filter val="$849.24"/>
        <filter val="$902.65"/>
        <filter val="$936.18"/>
        <filter val="$95,604.51"/>
        <filter val="$99.93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2026-07-14T16:01:25Z</dcterms:modified>
</cp:coreProperties>
</file>