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A19D48C5-1A00-4009-AC3B-79FB659FB390}" xr6:coauthVersionLast="47" xr6:coauthVersionMax="47" xr10:uidLastSave="{00000000-0000-0000-0000-000000000000}"/>
  <bookViews>
    <workbookView xWindow="-6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<sst xmlns="http://schemas.openxmlformats.org/spreadsheetml/2006/main" count="138" uniqueCount="92">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</sst>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6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4" fontId="0" fillId="2" borderId="0" xfId="3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8">
        <v>27</v>
      </c>
      <c r="B1" s="59" t="s">
        <v>11</v>
      </c>
      <c r="C1" s="57"/>
      <c r="D1" s="57"/>
      <c r="E1" s="57"/>
      <c r="F1" s="60">
        <v>-1</v>
      </c>
      <c r="G1" s="62">
        <v>-2099</v>
      </c>
    </row>
    <row r="2" spans="1:7" x14ac:dyDescent="0.25">
      <c r="A2" s="58">
        <v>28</v>
      </c>
      <c r="B2" s="59" t="s">
        <v>12</v>
      </c>
      <c r="C2" s="57"/>
      <c r="D2" s="57"/>
      <c r="E2" s="57"/>
      <c r="F2" s="60">
        <v>42</v>
      </c>
      <c r="G2" s="61">
        <v>4.2</v>
      </c>
    </row>
    <row r="3" spans="1:7" x14ac:dyDescent="0.25">
      <c r="A3" s="58">
        <v>38</v>
      </c>
      <c r="B3" s="59" t="s">
        <v>55</v>
      </c>
      <c r="C3" s="57"/>
      <c r="D3" s="57"/>
      <c r="E3" s="57"/>
      <c r="F3" s="60">
        <v>42</v>
      </c>
      <c r="G3" s="61">
        <v>2.1</v>
      </c>
    </row>
    <row r="4" spans="1:7" x14ac:dyDescent="0.25">
      <c r="A4" s="58">
        <v>110</v>
      </c>
      <c r="B4" s="59" t="s">
        <v>22</v>
      </c>
      <c r="C4" s="57"/>
      <c r="D4" s="57"/>
      <c r="E4" s="57"/>
      <c r="F4" s="60">
        <v>2388</v>
      </c>
      <c r="G4" s="63">
        <v>10768.75</v>
      </c>
    </row>
    <row r="5" spans="1:7" x14ac:dyDescent="0.25">
      <c r="A5" s="58">
        <v>120</v>
      </c>
      <c r="B5" s="59" t="s">
        <v>23</v>
      </c>
      <c r="C5" s="57"/>
      <c r="D5" s="57"/>
      <c r="E5" s="57"/>
      <c r="F5" s="60">
        <v>1600</v>
      </c>
      <c r="G5" s="62">
        <v>7661.32</v>
      </c>
    </row>
    <row r="6" spans="1:7" x14ac:dyDescent="0.25">
      <c r="A6" s="58">
        <v>130</v>
      </c>
      <c r="B6" s="59" t="s">
        <v>24</v>
      </c>
      <c r="C6" s="57"/>
      <c r="D6" s="57"/>
      <c r="E6" s="57"/>
      <c r="F6" s="60">
        <v>344</v>
      </c>
      <c r="G6" s="62">
        <v>2347.77</v>
      </c>
    </row>
    <row r="7" spans="1:7" x14ac:dyDescent="0.25">
      <c r="A7" s="58">
        <v>140</v>
      </c>
      <c r="B7" s="59" t="s">
        <v>25</v>
      </c>
      <c r="C7" s="57"/>
      <c r="D7" s="57"/>
      <c r="E7" s="57"/>
      <c r="F7" s="60">
        <v>945</v>
      </c>
      <c r="G7" s="62">
        <v>6214.46</v>
      </c>
    </row>
    <row r="8" spans="1:7" x14ac:dyDescent="0.25">
      <c r="A8" s="58">
        <v>142</v>
      </c>
      <c r="B8" s="59" t="s">
        <v>26</v>
      </c>
      <c r="C8" s="57"/>
      <c r="D8" s="57"/>
      <c r="E8" s="57"/>
      <c r="F8" s="60">
        <v>82</v>
      </c>
      <c r="G8" s="65">
        <v>412.86</v>
      </c>
    </row>
    <row r="9" spans="1:7" x14ac:dyDescent="0.25">
      <c r="A9" s="58">
        <v>150</v>
      </c>
      <c r="B9" s="59" t="s">
        <v>27</v>
      </c>
      <c r="C9" s="57"/>
      <c r="D9" s="57"/>
      <c r="E9" s="57"/>
      <c r="F9" s="60">
        <v>341</v>
      </c>
      <c r="G9" s="62">
        <v>2014.42</v>
      </c>
    </row>
    <row r="10" spans="1:7" x14ac:dyDescent="0.25">
      <c r="A10" s="58">
        <v>160</v>
      </c>
      <c r="B10" s="59" t="s">
        <v>28</v>
      </c>
      <c r="C10" s="57"/>
      <c r="D10" s="57"/>
      <c r="E10" s="57"/>
      <c r="F10" s="60">
        <v>108</v>
      </c>
      <c r="G10" s="62">
        <v>1305.82</v>
      </c>
    </row>
    <row r="11" spans="1:7" x14ac:dyDescent="0.25">
      <c r="A11" s="58">
        <v>170</v>
      </c>
      <c r="B11" s="59" t="s">
        <v>29</v>
      </c>
      <c r="C11" s="57"/>
      <c r="D11" s="57"/>
      <c r="E11" s="57"/>
      <c r="F11" s="60">
        <v>-1</v>
      </c>
      <c r="G11" s="65">
        <v>-168.59</v>
      </c>
    </row>
    <row r="12" spans="1:7" x14ac:dyDescent="0.25">
      <c r="A12" s="58">
        <v>180</v>
      </c>
      <c r="B12" s="59" t="s">
        <v>30</v>
      </c>
      <c r="C12" s="57"/>
      <c r="D12" s="57"/>
      <c r="E12" s="57"/>
      <c r="F12" s="60">
        <v>91</v>
      </c>
      <c r="G12" s="65">
        <v>241.43</v>
      </c>
    </row>
    <row r="13" spans="1:7" x14ac:dyDescent="0.25">
      <c r="A13" s="58">
        <v>190</v>
      </c>
      <c r="B13" s="59" t="s">
        <v>31</v>
      </c>
      <c r="C13" s="57"/>
      <c r="D13" s="57"/>
      <c r="E13" s="57"/>
      <c r="F13" s="60">
        <v>103</v>
      </c>
      <c r="G13" s="65">
        <v>651.67999999999995</v>
      </c>
    </row>
    <row r="14" spans="1:7" x14ac:dyDescent="0.25">
      <c r="A14" s="58">
        <v>210</v>
      </c>
      <c r="B14" s="59" t="s">
        <v>32</v>
      </c>
      <c r="C14" s="57"/>
      <c r="D14" s="57"/>
      <c r="E14" s="57"/>
      <c r="F14" s="60">
        <v>776</v>
      </c>
      <c r="G14" s="62">
        <v>6043.37</v>
      </c>
    </row>
    <row r="15" spans="1:7" x14ac:dyDescent="0.25">
      <c r="A15" s="58">
        <v>220</v>
      </c>
      <c r="B15" s="59" t="s">
        <v>33</v>
      </c>
      <c r="C15" s="57"/>
      <c r="D15" s="57"/>
      <c r="E15" s="57"/>
      <c r="F15" s="60">
        <v>508</v>
      </c>
      <c r="G15" s="62">
        <v>2427.69</v>
      </c>
    </row>
    <row r="16" spans="1:7" x14ac:dyDescent="0.25">
      <c r="A16" s="58">
        <v>230</v>
      </c>
      <c r="B16" s="59" t="s">
        <v>34</v>
      </c>
      <c r="C16" s="57"/>
      <c r="D16" s="57"/>
      <c r="E16" s="57"/>
      <c r="F16" s="60">
        <v>2</v>
      </c>
      <c r="G16" s="65">
        <v>106.98</v>
      </c>
    </row>
    <row r="17" spans="1:7" x14ac:dyDescent="0.25">
      <c r="A17" s="58">
        <v>235</v>
      </c>
      <c r="B17" s="59" t="s">
        <v>59</v>
      </c>
      <c r="C17" s="57"/>
      <c r="D17" s="57"/>
      <c r="E17" s="57"/>
      <c r="F17" s="60">
        <v>22</v>
      </c>
      <c r="G17" s="65">
        <v>275.27999999999997</v>
      </c>
    </row>
    <row r="18" spans="1:7" x14ac:dyDescent="0.25">
      <c r="A18" s="58">
        <v>240</v>
      </c>
      <c r="B18" s="59" t="s">
        <v>35</v>
      </c>
      <c r="C18" s="57"/>
      <c r="D18" s="57"/>
      <c r="E18" s="57"/>
      <c r="F18" s="60">
        <v>179</v>
      </c>
      <c r="G18" s="65">
        <v>602.14</v>
      </c>
    </row>
    <row r="19" spans="1:7" x14ac:dyDescent="0.25">
      <c r="A19" s="58">
        <v>310</v>
      </c>
      <c r="B19" s="59" t="s">
        <v>37</v>
      </c>
      <c r="C19" s="57"/>
      <c r="D19" s="57"/>
      <c r="E19" s="57"/>
      <c r="F19" s="60">
        <v>541</v>
      </c>
      <c r="G19" s="62">
        <v>3299.75</v>
      </c>
    </row>
    <row r="20" spans="1:7" x14ac:dyDescent="0.25">
      <c r="A20" s="58">
        <v>320</v>
      </c>
      <c r="B20" s="59" t="s">
        <v>38</v>
      </c>
      <c r="C20" s="57"/>
      <c r="D20" s="57"/>
      <c r="E20" s="57"/>
      <c r="F20" s="60">
        <v>636</v>
      </c>
      <c r="G20" s="62">
        <v>6425.24</v>
      </c>
    </row>
    <row r="21" spans="1:7" x14ac:dyDescent="0.25">
      <c r="A21" s="58">
        <v>330</v>
      </c>
      <c r="B21" s="59" t="s">
        <v>39</v>
      </c>
      <c r="C21" s="57"/>
      <c r="D21" s="57"/>
      <c r="E21" s="57"/>
      <c r="F21" s="60">
        <v>136</v>
      </c>
      <c r="G21" s="62">
        <v>1295.2</v>
      </c>
    </row>
    <row r="22" spans="1:7" x14ac:dyDescent="0.25">
      <c r="A22" s="58">
        <v>340</v>
      </c>
      <c r="B22" s="59" t="s">
        <v>40</v>
      </c>
      <c r="C22" s="57"/>
      <c r="D22" s="57"/>
      <c r="E22" s="57"/>
      <c r="F22" s="60">
        <v>126</v>
      </c>
      <c r="G22" s="62">
        <v>1714.28</v>
      </c>
    </row>
    <row r="23" spans="1:7" x14ac:dyDescent="0.25">
      <c r="A23" s="58">
        <v>350</v>
      </c>
      <c r="B23" s="59" t="s">
        <v>41</v>
      </c>
      <c r="C23" s="57"/>
      <c r="D23" s="57"/>
      <c r="E23" s="57"/>
      <c r="F23" s="60">
        <v>95</v>
      </c>
      <c r="G23" s="65">
        <v>944.72</v>
      </c>
    </row>
    <row r="24" spans="1:7" x14ac:dyDescent="0.25">
      <c r="A24" s="58">
        <v>410</v>
      </c>
      <c r="B24" s="59" t="s">
        <v>42</v>
      </c>
      <c r="C24" s="57"/>
      <c r="D24" s="57"/>
      <c r="E24" s="57"/>
      <c r="F24" s="60">
        <v>3454</v>
      </c>
      <c r="G24" s="63">
        <v>12125.92</v>
      </c>
    </row>
    <row r="25" spans="1:7" x14ac:dyDescent="0.25">
      <c r="A25" s="58">
        <v>420</v>
      </c>
      <c r="B25" s="59" t="s">
        <v>43</v>
      </c>
      <c r="C25" s="57"/>
      <c r="D25" s="57"/>
      <c r="E25" s="57"/>
      <c r="F25" s="60">
        <v>292</v>
      </c>
      <c r="G25" s="62">
        <v>1924.55</v>
      </c>
    </row>
    <row r="26" spans="1:7" x14ac:dyDescent="0.25">
      <c r="A26" s="58">
        <v>510</v>
      </c>
      <c r="B26" s="59" t="s">
        <v>44</v>
      </c>
      <c r="C26" s="57"/>
      <c r="D26" s="57"/>
      <c r="E26" s="57"/>
      <c r="F26" s="60">
        <v>222</v>
      </c>
      <c r="G26" s="62">
        <v>2192.66</v>
      </c>
    </row>
    <row r="27" spans="1:7" x14ac:dyDescent="0.25">
      <c r="A27" s="58">
        <v>520</v>
      </c>
      <c r="B27" s="59" t="s">
        <v>45</v>
      </c>
      <c r="C27" s="57"/>
      <c r="D27" s="57"/>
      <c r="E27" s="57"/>
      <c r="F27" s="60">
        <v>233</v>
      </c>
      <c r="G27" s="62">
        <v>4184.22</v>
      </c>
    </row>
    <row r="28" spans="1:7" x14ac:dyDescent="0.25">
      <c r="A28" s="58">
        <v>550</v>
      </c>
      <c r="B28" s="59" t="s">
        <v>48</v>
      </c>
      <c r="C28" s="57"/>
      <c r="D28" s="57"/>
      <c r="E28" s="57"/>
      <c r="F28" s="60">
        <v>4</v>
      </c>
      <c r="G28" s="64">
        <v>40.92</v>
      </c>
    </row>
    <row r="29" spans="1:7" x14ac:dyDescent="0.25">
      <c r="A29" s="58">
        <v>1300</v>
      </c>
      <c r="B29" s="59" t="s">
        <v>51</v>
      </c>
      <c r="C29" s="57"/>
      <c r="D29" s="57"/>
      <c r="E29" s="57"/>
      <c r="F29" s="60">
        <v>11</v>
      </c>
      <c r="G29" s="65">
        <v>100.9</v>
      </c>
    </row>
    <row r="30" spans="1:7" x14ac:dyDescent="0.25">
      <c r="A30" s="51"/>
      <c r="B30" s="52"/>
      <c r="C30" s="50"/>
      <c r="D30" s="50"/>
      <c r="E30" s="50"/>
      <c r="F30" s="53"/>
      <c r="G30" s="55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58">
        <v>110</v>
      </c>
      <c r="B1" s="59" t="s">
        <v>22</v>
      </c>
      <c r="C1" s="57"/>
      <c r="D1" s="57"/>
      <c r="E1" s="57"/>
      <c r="F1" s="60">
        <v>17</v>
      </c>
      <c r="G1" s="61">
        <v>6.39</v>
      </c>
    </row>
    <row r="2" spans="1:7" x14ac:dyDescent="0.25">
      <c r="A2" s="58">
        <v>120</v>
      </c>
      <c r="B2" s="59" t="s">
        <v>23</v>
      </c>
      <c r="C2" s="57"/>
      <c r="D2" s="57"/>
      <c r="E2" s="57"/>
      <c r="F2" s="60">
        <v>27</v>
      </c>
      <c r="G2" s="64">
        <v>10.87</v>
      </c>
    </row>
    <row r="3" spans="1:7" x14ac:dyDescent="0.25">
      <c r="A3" s="58">
        <v>130</v>
      </c>
      <c r="B3" s="59" t="s">
        <v>24</v>
      </c>
      <c r="C3" s="57"/>
      <c r="D3" s="57"/>
      <c r="E3" s="57"/>
      <c r="F3" s="60">
        <v>3</v>
      </c>
      <c r="G3" s="61">
        <v>1.69</v>
      </c>
    </row>
    <row r="4" spans="1:7" x14ac:dyDescent="0.25">
      <c r="A4" s="58">
        <v>142</v>
      </c>
      <c r="B4" s="59" t="s">
        <v>26</v>
      </c>
      <c r="C4" s="57"/>
      <c r="D4" s="57"/>
      <c r="E4" s="57"/>
      <c r="F4" s="60">
        <v>66</v>
      </c>
      <c r="G4" s="57"/>
    </row>
    <row r="5" spans="1:7" x14ac:dyDescent="0.25">
      <c r="A5" s="58">
        <v>150</v>
      </c>
      <c r="B5" s="59" t="s">
        <v>27</v>
      </c>
      <c r="C5" s="57"/>
      <c r="D5" s="57"/>
      <c r="E5" s="57"/>
      <c r="F5" s="60">
        <v>21</v>
      </c>
      <c r="G5" s="64">
        <v>12.89</v>
      </c>
    </row>
    <row r="6" spans="1:7" x14ac:dyDescent="0.25">
      <c r="A6" s="58">
        <v>160</v>
      </c>
      <c r="B6" s="59" t="s">
        <v>28</v>
      </c>
      <c r="C6" s="57"/>
      <c r="D6" s="57"/>
      <c r="E6" s="57"/>
      <c r="F6" s="60">
        <v>4</v>
      </c>
      <c r="G6" s="61">
        <v>3.6</v>
      </c>
    </row>
    <row r="7" spans="1:7" x14ac:dyDescent="0.25">
      <c r="A7" s="58">
        <v>210</v>
      </c>
      <c r="B7" s="59" t="s">
        <v>32</v>
      </c>
      <c r="C7" s="57"/>
      <c r="D7" s="57"/>
      <c r="E7" s="57"/>
      <c r="F7" s="60">
        <v>20</v>
      </c>
      <c r="G7" s="57"/>
    </row>
    <row r="8" spans="1:7" x14ac:dyDescent="0.25">
      <c r="A8" s="58">
        <v>220</v>
      </c>
      <c r="B8" s="59" t="s">
        <v>33</v>
      </c>
      <c r="C8" s="57"/>
      <c r="D8" s="57"/>
      <c r="E8" s="57"/>
      <c r="F8" s="60">
        <v>3</v>
      </c>
      <c r="G8" s="61">
        <v>1.7</v>
      </c>
    </row>
    <row r="9" spans="1:7" x14ac:dyDescent="0.25">
      <c r="A9" s="58">
        <v>310</v>
      </c>
      <c r="B9" s="59" t="s">
        <v>37</v>
      </c>
      <c r="C9" s="57"/>
      <c r="D9" s="57"/>
      <c r="E9" s="57"/>
      <c r="F9" s="60">
        <v>3</v>
      </c>
      <c r="G9" s="61">
        <v>2.19</v>
      </c>
    </row>
    <row r="10" spans="1:7" x14ac:dyDescent="0.25">
      <c r="A10" s="58">
        <v>330</v>
      </c>
      <c r="B10" s="59" t="s">
        <v>39</v>
      </c>
      <c r="C10" s="57"/>
      <c r="D10" s="57"/>
      <c r="E10" s="57"/>
      <c r="F10" s="60">
        <v>1</v>
      </c>
      <c r="G10" s="61">
        <v>0.31</v>
      </c>
    </row>
    <row r="11" spans="1:7" x14ac:dyDescent="0.25">
      <c r="A11" s="58">
        <v>350</v>
      </c>
      <c r="B11" s="59" t="s">
        <v>41</v>
      </c>
      <c r="C11" s="57"/>
      <c r="D11" s="57"/>
      <c r="E11" s="57"/>
      <c r="F11" s="60">
        <v>1</v>
      </c>
      <c r="G11" s="61">
        <v>1.04</v>
      </c>
    </row>
    <row r="12" spans="1:7" x14ac:dyDescent="0.25">
      <c r="A12" s="58">
        <v>410</v>
      </c>
      <c r="B12" s="59" t="s">
        <v>42</v>
      </c>
      <c r="C12" s="57"/>
      <c r="D12" s="57"/>
      <c r="E12" s="57"/>
      <c r="F12" s="60">
        <v>4</v>
      </c>
      <c r="G12" s="61">
        <v>0.75</v>
      </c>
    </row>
    <row r="13" spans="1:7" x14ac:dyDescent="0.25">
      <c r="A13" s="58">
        <v>420</v>
      </c>
      <c r="B13" s="59" t="s">
        <v>43</v>
      </c>
      <c r="C13" s="57"/>
      <c r="D13" s="57"/>
      <c r="E13" s="57"/>
      <c r="F13" s="60">
        <v>1</v>
      </c>
      <c r="G13" s="61">
        <v>8.39</v>
      </c>
    </row>
    <row r="14" spans="1:7" x14ac:dyDescent="0.25">
      <c r="A14" s="58">
        <v>510</v>
      </c>
      <c r="B14" s="59" t="s">
        <v>44</v>
      </c>
      <c r="C14" s="57"/>
      <c r="D14" s="57"/>
      <c r="E14" s="57"/>
      <c r="F14" s="60">
        <v>2</v>
      </c>
      <c r="G14" s="61">
        <v>1.55</v>
      </c>
    </row>
    <row r="15" spans="1:7" x14ac:dyDescent="0.25">
      <c r="A15" s="58"/>
      <c r="B15" s="59"/>
      <c r="C15" s="57"/>
      <c r="D15" s="57"/>
      <c r="E15" s="57"/>
      <c r="F15" s="60"/>
      <c r="G15" s="61"/>
    </row>
    <row r="16" spans="1:7" x14ac:dyDescent="0.25">
      <c r="A16" s="51"/>
      <c r="B16" s="52"/>
      <c r="C16" s="50"/>
      <c r="D16" s="50"/>
      <c r="E16" s="50"/>
      <c r="F16" s="53"/>
      <c r="G16" s="54"/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7"/>
      <c r="B9" s="67"/>
      <c r="C9" s="67"/>
      <c r="D9" s="67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7"/>
      <c r="B12" s="67"/>
      <c r="C12" s="67"/>
      <c r="D12" s="67"/>
      <c r="E12" s="67"/>
      <c r="F12" s="67"/>
      <c r="G12" s="67"/>
      <c r="H12" s="67"/>
    </row>
    <row r="13" spans="1:8" ht="15" customHeight="1" x14ac:dyDescent="0.25">
      <c r="A13" s="67"/>
      <c r="B13" s="67"/>
      <c r="C13" s="67"/>
      <c r="D13" s="67"/>
      <c r="E13" s="67"/>
      <c r="F13" s="22"/>
      <c r="G13" s="25"/>
    </row>
    <row r="14" spans="1:8" x14ac:dyDescent="0.25">
      <c r="A14" s="22"/>
    </row>
    <row r="15" spans="1:8" x14ac:dyDescent="0.25">
      <c r="A15" s="67"/>
      <c r="B15" s="67"/>
      <c r="C15" s="67"/>
      <c r="D15" s="67"/>
      <c r="E15" s="67"/>
      <c r="F15" s="67"/>
      <c r="G15" s="67"/>
      <c r="H15" s="67"/>
    </row>
    <row r="16" spans="1:8" ht="15" customHeight="1" x14ac:dyDescent="0.25">
      <c r="A16" s="67"/>
      <c r="B16" s="67"/>
      <c r="C16" s="67"/>
      <c r="D16" s="67"/>
      <c r="E16" s="67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7"/>
      <c r="B544" s="67"/>
      <c r="C544" s="67"/>
      <c r="D544" s="67"/>
      <c r="E544" s="67"/>
      <c r="F544" s="67"/>
      <c r="G544" s="67"/>
      <c r="H544" s="67"/>
    </row>
    <row r="545" spans="1:8" ht="15" customHeight="1" x14ac:dyDescent="0.25">
      <c r="A545" s="67"/>
      <c r="B545" s="67"/>
      <c r="C545" s="67"/>
      <c r="D545" s="67"/>
      <c r="E545" s="67"/>
      <c r="F545" s="22"/>
      <c r="G545" s="25"/>
    </row>
    <row r="546" spans="1:8" x14ac:dyDescent="0.25">
      <c r="A546" s="22"/>
    </row>
    <row r="547" spans="1:8" x14ac:dyDescent="0.25">
      <c r="A547" s="67"/>
      <c r="B547" s="67"/>
      <c r="C547" s="67"/>
      <c r="D547" s="67"/>
      <c r="E547" s="67"/>
      <c r="F547" s="67"/>
      <c r="G547" s="67"/>
      <c r="H547" s="67"/>
    </row>
    <row r="548" spans="1:8" ht="15" customHeight="1" x14ac:dyDescent="0.25">
      <c r="A548" s="67"/>
      <c r="B548" s="67"/>
      <c r="C548" s="67"/>
      <c r="D548" s="67"/>
      <c r="E548" s="67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7"/>
      <c r="B729" s="67"/>
      <c r="C729" s="67"/>
      <c r="D729" s="67"/>
      <c r="E729" s="67"/>
      <c r="F729" s="67"/>
      <c r="G729" s="67"/>
      <c r="H729" s="67"/>
    </row>
    <row r="730" spans="1:8" ht="15" customHeight="1" x14ac:dyDescent="0.25">
      <c r="A730" s="67"/>
      <c r="B730" s="67"/>
      <c r="C730" s="67"/>
      <c r="D730" s="67"/>
      <c r="E730" s="67"/>
      <c r="F730" s="22"/>
      <c r="G730" s="25"/>
    </row>
    <row r="731" spans="1:8" x14ac:dyDescent="0.25">
      <c r="A731" s="22"/>
    </row>
    <row r="732" spans="1:8" x14ac:dyDescent="0.25">
      <c r="A732" s="67"/>
      <c r="B732" s="67"/>
      <c r="C732" s="67"/>
      <c r="D732" s="67"/>
      <c r="E732" s="67"/>
      <c r="F732" s="67"/>
      <c r="G732" s="67"/>
      <c r="H732" s="67"/>
    </row>
    <row r="733" spans="1:8" ht="15" customHeight="1" x14ac:dyDescent="0.25">
      <c r="A733" s="67"/>
      <c r="B733" s="67"/>
      <c r="C733" s="67"/>
      <c r="D733" s="67"/>
      <c r="E733" s="67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topLeftCell="A2" workbookViewId="0">
      <selection activeCell="I28" sqref="I28:I29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-2099</v>
      </c>
      <c r="L1" s="39" t="s">
        <v>88</v>
      </c>
      <c r="M1" s="40">
        <f>6+12+6</f>
        <v>24</v>
      </c>
      <c r="O1" s="46" t="s">
        <v>7</v>
      </c>
      <c r="P1" s="47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-51.37</v>
      </c>
      <c r="L2" s="41" t="s">
        <v>61</v>
      </c>
      <c r="M2" s="39">
        <f>J1+M1</f>
        <v>-2075</v>
      </c>
      <c r="O2" s="46" t="s">
        <v>91</v>
      </c>
      <c r="P2" s="47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73061.040000000008</v>
      </c>
      <c r="O3" s="46" t="s">
        <v>89</v>
      </c>
      <c r="P3" s="56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-2099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-2099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4.2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4.2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2.1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2.1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10768.75</v>
      </c>
      <c r="D22" s="3">
        <f>IFERROR(INDEX('SubDept Coupon (Local Discount)'!G$1:G$100,MATCH('SubDept Sales Report'!A22,'SubDept Coupon (Local Discount)'!A$1:A$100,0)),0)</f>
        <v>6.39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10775.14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7661.32</v>
      </c>
      <c r="D23" s="3">
        <f>IFERROR(INDEX('SubDept Coupon (Local Discount)'!G$1:G$100,MATCH('SubDept Sales Report'!A23,'SubDept Coupon (Local Discount)'!A$1:A$100,0)),0)</f>
        <v>10.87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7672.19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2347.77</v>
      </c>
      <c r="D24" s="3">
        <f>IFERROR(INDEX('SubDept Coupon (Local Discount)'!G$1:G$100,MATCH('SubDept Sales Report'!A24,'SubDept Coupon (Local Discount)'!A$1:A$100,0)),0)</f>
        <v>1.69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2349.46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6214.46</v>
      </c>
      <c r="D25" s="3">
        <f>IFERROR(INDEX('SubDept Coupon (Local Discount)'!G$1:G$100,MATCH('SubDept Sales Report'!A25,'SubDept Coupon (Local Discount)'!A$1:A$100,0)),0)</f>
        <v>0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6214.46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412.86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412.86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2014.42</v>
      </c>
      <c r="D27" s="3">
        <f>IFERROR(INDEX('SubDept Coupon (Local Discount)'!G$1:G$100,MATCH('SubDept Sales Report'!A27,'SubDept Coupon (Local Discount)'!A$1:A$100,0)),0)</f>
        <v>12.89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2027.3100000000002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1305.82</v>
      </c>
      <c r="D28" s="3">
        <f>IFERROR(INDEX('SubDept Coupon (Local Discount)'!G$1:G$100,MATCH('SubDept Sales Report'!A28,'SubDept Coupon (Local Discount)'!A$1:A$100,0)),0)</f>
        <v>3.6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1309.4199999999998</v>
      </c>
      <c r="I28" s="12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-168.59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68">
        <f t="shared" si="0"/>
        <v>-168.59</v>
      </c>
      <c r="H29">
        <v>7210410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241.43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241.43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651.67999999999995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651.67999999999995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6043.37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6043.37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2427.69</v>
      </c>
      <c r="D33" s="3">
        <f>IFERROR(INDEX('SubDept Coupon (Local Discount)'!G$1:G$100,MATCH('SubDept Sales Report'!A33,'SubDept Coupon (Local Discount)'!A$1:A$100,0)),0)</f>
        <v>1.7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2429.39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106.98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106.98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275.27999999999997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275.27999999999997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602.14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602.14</v>
      </c>
      <c r="I36" s="12"/>
      <c r="J36" s="3"/>
      <c r="K36" s="3"/>
    </row>
    <row r="37" spans="1:11" hidden="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0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3299.75</v>
      </c>
      <c r="D39" s="3">
        <f>IFERROR(INDEX('SubDept Coupon (Local Discount)'!G$1:G$100,MATCH('SubDept Sales Report'!A39,'SubDept Coupon (Local Discount)'!A$1:A$100,0)),0)</f>
        <v>2.19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3301.94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6425.24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6425.24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1295.2</v>
      </c>
      <c r="D41" s="3">
        <f>IFERROR(INDEX('SubDept Coupon (Local Discount)'!G$1:G$100,MATCH('SubDept Sales Report'!A41,'SubDept Coupon (Local Discount)'!A$1:A$100,0)),0)</f>
        <v>0.31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1295.51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1714.28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1714.28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944.72</v>
      </c>
      <c r="D43" s="3">
        <f>IFERROR(INDEX('SubDept Coupon (Local Discount)'!G$1:G$100,MATCH('SubDept Sales Report'!A43,'SubDept Coupon (Local Discount)'!A$1:A$100,0)),0)</f>
        <v>1.04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945.76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12125.92</v>
      </c>
      <c r="D44" s="3">
        <f>IFERROR(INDEX('SubDept Coupon (Local Discount)'!G$1:G$100,MATCH('SubDept Sales Report'!A44,'SubDept Coupon (Local Discount)'!A$1:A$100,0)),0)</f>
        <v>0.75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12126.67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1924.55</v>
      </c>
      <c r="D45" s="3">
        <f>IFERROR(INDEX('SubDept Coupon (Local Discount)'!G$1:G$100,MATCH('SubDept Sales Report'!A45,'SubDept Coupon (Local Discount)'!A$1:A$100,0)),0)</f>
        <v>8.39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1932.94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2192.66</v>
      </c>
      <c r="D46" s="3">
        <f>IFERROR(INDEX('SubDept Coupon (Local Discount)'!G$1:G$100,MATCH('SubDept Sales Report'!A46,'SubDept Coupon (Local Discount)'!A$1:A$100,0)),0)</f>
        <v>1.55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2194.21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4184.22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4184.22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40.92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40.92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100.9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100.9</v>
      </c>
      <c r="I53" s="12"/>
      <c r="J53" s="3"/>
      <c r="K53" s="3"/>
    </row>
    <row r="54" spans="1:11" x14ac:dyDescent="0.25">
      <c r="B54" s="19" t="s">
        <v>52</v>
      </c>
      <c r="C54" s="3">
        <f>SUM(C5:C53)</f>
        <v>73061.039999999994</v>
      </c>
      <c r="D54" s="11">
        <f>SUM(D5:D53)</f>
        <v>51.37</v>
      </c>
      <c r="E54" s="11">
        <f>SUM(E5:E53)</f>
        <v>0</v>
      </c>
      <c r="F54" s="11">
        <f>SUM(F5:F53)</f>
        <v>0</v>
      </c>
      <c r="G54" s="38">
        <f>SUM(G11:G53,G9,G8,G7,G6,G5)</f>
        <v>75211.41</v>
      </c>
      <c r="I54" s="12"/>
      <c r="J54" s="3"/>
      <c r="K54" s="3"/>
    </row>
  </sheetData>
  <autoFilter ref="A4:G54" xr:uid="{459199FD-0CD3-4C93-B98C-3BA614742282}">
    <filterColumn colId="6">
      <filters>
        <filter val="$(168.59)"/>
        <filter val="$(2,099.00)"/>
        <filter val="$1,295.51"/>
        <filter val="$1,309.42"/>
        <filter val="$1,714.28"/>
        <filter val="$1,932.94"/>
        <filter val="$10,775.14"/>
        <filter val="$100.90"/>
        <filter val="$106.98"/>
        <filter val="$12,126.67"/>
        <filter val="$2,027.31"/>
        <filter val="$2,194.21"/>
        <filter val="$2,349.46"/>
        <filter val="$2,429.39"/>
        <filter val="$2.10"/>
        <filter val="$241.43"/>
        <filter val="$275.28"/>
        <filter val="$3,301.94"/>
        <filter val="$4,184.22"/>
        <filter val="$4.20"/>
        <filter val="$40.92"/>
        <filter val="$412.86"/>
        <filter val="$6,043.37"/>
        <filter val="$6,214.46"/>
        <filter val="$6,425.24"/>
        <filter val="$602.14"/>
        <filter val="$651.68"/>
        <filter val="$7,672.19"/>
        <filter val="$75,211.41"/>
        <filter val="$945.76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2026-07-06T17:27:18Z</dcterms:modified>
</cp:coreProperties>
</file>