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002F1C05-218A-4EA6-AA70-852322705FA1}" xr6:coauthVersionLast="47" xr6:coauthVersionMax="47" xr10:uidLastSave="{00000000-0000-0000-0000-000000000000}"/>
  <bookViews>
    <workbookView xWindow="2874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<sst xmlns="http://schemas.openxmlformats.org/spreadsheetml/2006/main" count="140" uniqueCount="92">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</sst>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4" fillId="0" borderId="0"/>
    <xf numFmtId="0" fontId="5" fillId="0" borderId="0"/>
    <xf numFmtId="44" fontId="6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1" fillId="0" borderId="0"/>
    <xf numFmtId="0" fontId="12" fillId="0" borderId="0"/>
    <xf numFmtId="0" fontId="15" fillId="0" borderId="0"/>
    <xf numFmtId="0" fontId="18" fillId="0" borderId="0"/>
    <xf numFmtId="0" fontId="20" fillId="0" borderId="0"/>
  </cellStyleXfs>
  <cellXfs count="74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0" fillId="0" borderId="0" xfId="0" applyFont="1"/>
    <xf numFmtId="0" fontId="12" fillId="0" borderId="0" xfId="8"/>
    <xf numFmtId="1" fontId="13" fillId="0" borderId="0" xfId="8" applyNumberFormat="1" applyFont="1" applyAlignment="1" applyProtection="1">
      <alignment horizontal="left" vertical="top"/>
      <protection locked="0"/>
    </xf>
    <xf numFmtId="0" fontId="13" fillId="0" borderId="0" xfId="8" applyFont="1" applyAlignment="1" applyProtection="1">
      <alignment horizontal="left" vertical="top"/>
      <protection locked="0"/>
    </xf>
    <xf numFmtId="1" fontId="12" fillId="0" borderId="0" xfId="8" applyNumberFormat="1" applyAlignment="1" applyProtection="1">
      <alignment horizontal="right" vertical="top"/>
      <protection locked="0"/>
    </xf>
    <xf numFmtId="165" fontId="12" fillId="0" borderId="0" xfId="8" applyNumberFormat="1" applyAlignment="1" applyProtection="1">
      <alignment horizontal="right" vertical="top"/>
      <protection locked="0"/>
    </xf>
    <xf numFmtId="164" fontId="12" fillId="0" borderId="0" xfId="8" applyNumberFormat="1" applyAlignment="1" applyProtection="1">
      <alignment horizontal="right" vertical="top"/>
      <protection locked="0"/>
    </xf>
    <xf numFmtId="167" fontId="12" fillId="0" borderId="0" xfId="8" applyNumberFormat="1" applyAlignment="1" applyProtection="1">
      <alignment horizontal="right" vertical="top"/>
      <protection locked="0"/>
    </xf>
    <xf numFmtId="166" fontId="12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4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4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5" fillId="0" borderId="0" xfId="9"/>
    <xf numFmtId="1" fontId="16" fillId="0" borderId="0" xfId="9" applyNumberFormat="1" applyFont="1" applyAlignment="1" applyProtection="1">
      <alignment horizontal="left" vertical="top"/>
      <protection locked="0"/>
    </xf>
    <xf numFmtId="0" fontId="16" fillId="0" borderId="0" xfId="9" applyFont="1" applyAlignment="1" applyProtection="1">
      <alignment horizontal="left" vertical="top"/>
      <protection locked="0"/>
    </xf>
    <xf numFmtId="1" fontId="15" fillId="0" borderId="0" xfId="9" applyNumberFormat="1" applyAlignment="1" applyProtection="1">
      <alignment horizontal="right" vertical="top"/>
      <protection locked="0"/>
    </xf>
    <xf numFmtId="2" fontId="15" fillId="0" borderId="0" xfId="9" applyNumberFormat="1" applyAlignment="1" applyProtection="1">
      <alignment horizontal="right" vertical="top"/>
      <protection locked="0"/>
    </xf>
    <xf numFmtId="44" fontId="17" fillId="7" borderId="0" xfId="3" applyFont="1" applyFill="1" applyBorder="1"/>
    <xf numFmtId="0" fontId="18" fillId="0" borderId="0" xfId="10"/>
    <xf numFmtId="1" fontId="19" fillId="0" borderId="0" xfId="10" applyNumberFormat="1" applyFont="1" applyAlignment="1" applyProtection="1">
      <alignment horizontal="left" vertical="top"/>
      <protection locked="0"/>
    </xf>
    <xf numFmtId="0" fontId="19" fillId="0" borderId="0" xfId="10" applyFont="1" applyAlignment="1" applyProtection="1">
      <alignment horizontal="left" vertical="top"/>
      <protection locked="0"/>
    </xf>
    <xf numFmtId="1" fontId="18" fillId="0" borderId="0" xfId="10" applyNumberFormat="1" applyAlignment="1" applyProtection="1">
      <alignment horizontal="right" vertical="top"/>
      <protection locked="0"/>
    </xf>
    <xf numFmtId="2" fontId="18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4" fontId="20" fillId="0" borderId="0" xfId="11" applyNumberFormat="1" applyFill="1" applyAlignment="1" applyProtection="1">
      <alignment horizontal="right" vertical="top"/>
      <protection locked="0"/>
    </xf>
    <xf numFmtId="167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166" fontId="20" fillId="0" borderId="0" xfId="11" applyNumberFormat="1" applyFill="1" applyAlignment="1" applyProtection="1">
      <alignment horizontal="right" vertical="top"/>
      <protection locked="0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44" fontId="0" fillId="2" borderId="0" xfId="3" applyFont="1" applyFill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E0A89DE9-98E7-4D79-A4B3-9EE085A24D32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4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1"/>
    </sheetView>
  </sheetViews>
  <sheetFormatPr defaultRowHeight="15" x14ac:dyDescent="0.25"/>
  <cols>
    <col min="2" max="2" width="14.7109375" bestFit="1" customWidth="1"/>
  </cols>
  <sheetData>
    <row r="1" spans="1:7" x14ac:dyDescent="0.25">
      <c r="A1" s="59">
        <v>23</v>
      </c>
      <c r="B1" s="60" t="s">
        <v>7</v>
      </c>
      <c r="C1" s="58"/>
      <c r="D1" s="58"/>
      <c r="E1" s="58"/>
      <c r="F1" s="61">
        <v>-1</v>
      </c>
      <c r="G1" s="62">
        <v>-2</v>
      </c>
    </row>
    <row r="2" spans="1:7" x14ac:dyDescent="0.25">
      <c r="A2" s="59">
        <v>27</v>
      </c>
      <c r="B2" s="60" t="s">
        <v>11</v>
      </c>
      <c r="C2" s="58"/>
      <c r="D2" s="58"/>
      <c r="E2" s="58"/>
      <c r="F2" s="58"/>
      <c r="G2" s="63">
        <v>-371.14</v>
      </c>
    </row>
    <row r="3" spans="1:7" x14ac:dyDescent="0.25">
      <c r="A3" s="59">
        <v>28</v>
      </c>
      <c r="B3" s="60" t="s">
        <v>12</v>
      </c>
      <c r="C3" s="58"/>
      <c r="D3" s="58"/>
      <c r="E3" s="58"/>
      <c r="F3" s="61">
        <v>79</v>
      </c>
      <c r="G3" s="62">
        <v>7.9</v>
      </c>
    </row>
    <row r="4" spans="1:7" x14ac:dyDescent="0.25">
      <c r="A4" s="59">
        <v>38</v>
      </c>
      <c r="B4" s="60" t="s">
        <v>55</v>
      </c>
      <c r="C4" s="58"/>
      <c r="D4" s="58"/>
      <c r="E4" s="58"/>
      <c r="F4" s="61">
        <v>81</v>
      </c>
      <c r="G4" s="62">
        <v>4.05</v>
      </c>
    </row>
    <row r="5" spans="1:7" x14ac:dyDescent="0.25">
      <c r="A5" s="59">
        <v>110</v>
      </c>
      <c r="B5" s="60" t="s">
        <v>22</v>
      </c>
      <c r="C5" s="58"/>
      <c r="D5" s="58"/>
      <c r="E5" s="58"/>
      <c r="F5" s="61">
        <v>3248</v>
      </c>
      <c r="G5" s="64">
        <v>15449.51</v>
      </c>
    </row>
    <row r="6" spans="1:7" x14ac:dyDescent="0.25">
      <c r="A6" s="59">
        <v>120</v>
      </c>
      <c r="B6" s="60" t="s">
        <v>23</v>
      </c>
      <c r="C6" s="58"/>
      <c r="D6" s="58"/>
      <c r="E6" s="58"/>
      <c r="F6" s="61">
        <v>2229</v>
      </c>
      <c r="G6" s="64">
        <v>11153.55</v>
      </c>
    </row>
    <row r="7" spans="1:7" x14ac:dyDescent="0.25">
      <c r="A7" s="59">
        <v>130</v>
      </c>
      <c r="B7" s="60" t="s">
        <v>24</v>
      </c>
      <c r="C7" s="58"/>
      <c r="D7" s="58"/>
      <c r="E7" s="58"/>
      <c r="F7" s="61">
        <v>465</v>
      </c>
      <c r="G7" s="66">
        <v>3189.82</v>
      </c>
    </row>
    <row r="8" spans="1:7" x14ac:dyDescent="0.25">
      <c r="A8" s="59">
        <v>140</v>
      </c>
      <c r="B8" s="60" t="s">
        <v>25</v>
      </c>
      <c r="C8" s="58"/>
      <c r="D8" s="58"/>
      <c r="E8" s="58"/>
      <c r="F8" s="61">
        <v>1427</v>
      </c>
      <c r="G8" s="66">
        <v>9859.59</v>
      </c>
    </row>
    <row r="9" spans="1:7" x14ac:dyDescent="0.25">
      <c r="A9" s="59">
        <v>142</v>
      </c>
      <c r="B9" s="60" t="s">
        <v>26</v>
      </c>
      <c r="C9" s="58"/>
      <c r="D9" s="58"/>
      <c r="E9" s="58"/>
      <c r="F9" s="61">
        <v>230</v>
      </c>
      <c r="G9" s="63">
        <v>961.79</v>
      </c>
    </row>
    <row r="10" spans="1:7" x14ac:dyDescent="0.25">
      <c r="A10" s="59">
        <v>150</v>
      </c>
      <c r="B10" s="60" t="s">
        <v>27</v>
      </c>
      <c r="C10" s="58"/>
      <c r="D10" s="58"/>
      <c r="E10" s="58"/>
      <c r="F10" s="61">
        <v>413</v>
      </c>
      <c r="G10" s="66">
        <v>2441.23</v>
      </c>
    </row>
    <row r="11" spans="1:7" x14ac:dyDescent="0.25">
      <c r="A11" s="59">
        <v>160</v>
      </c>
      <c r="B11" s="60" t="s">
        <v>28</v>
      </c>
      <c r="C11" s="58"/>
      <c r="D11" s="58"/>
      <c r="E11" s="58"/>
      <c r="F11" s="61">
        <v>111</v>
      </c>
      <c r="G11" s="66">
        <v>1268.53</v>
      </c>
    </row>
    <row r="12" spans="1:7" x14ac:dyDescent="0.25">
      <c r="A12" s="59">
        <v>170</v>
      </c>
      <c r="B12" s="60" t="s">
        <v>29</v>
      </c>
      <c r="C12" s="58"/>
      <c r="D12" s="58"/>
      <c r="E12" s="58"/>
      <c r="F12" s="61">
        <v>-1</v>
      </c>
      <c r="G12" s="65">
        <v>-17.12</v>
      </c>
    </row>
    <row r="13" spans="1:7" x14ac:dyDescent="0.25">
      <c r="A13" s="59">
        <v>180</v>
      </c>
      <c r="B13" s="60" t="s">
        <v>30</v>
      </c>
      <c r="C13" s="58"/>
      <c r="D13" s="58"/>
      <c r="E13" s="58"/>
      <c r="F13" s="61">
        <v>143</v>
      </c>
      <c r="G13" s="63">
        <v>440.69</v>
      </c>
    </row>
    <row r="14" spans="1:7" x14ac:dyDescent="0.25">
      <c r="A14" s="59">
        <v>190</v>
      </c>
      <c r="B14" s="60" t="s">
        <v>31</v>
      </c>
      <c r="C14" s="58"/>
      <c r="D14" s="58"/>
      <c r="E14" s="58"/>
      <c r="F14" s="61">
        <v>129</v>
      </c>
      <c r="G14" s="63">
        <v>643.53</v>
      </c>
    </row>
    <row r="15" spans="1:7" x14ac:dyDescent="0.25">
      <c r="A15" s="59">
        <v>210</v>
      </c>
      <c r="B15" s="60" t="s">
        <v>32</v>
      </c>
      <c r="C15" s="58"/>
      <c r="D15" s="58"/>
      <c r="E15" s="58"/>
      <c r="F15" s="61">
        <v>1178</v>
      </c>
      <c r="G15" s="66">
        <v>9478.24</v>
      </c>
    </row>
    <row r="16" spans="1:7" x14ac:dyDescent="0.25">
      <c r="A16" s="59">
        <v>220</v>
      </c>
      <c r="B16" s="60" t="s">
        <v>33</v>
      </c>
      <c r="C16" s="58"/>
      <c r="D16" s="58"/>
      <c r="E16" s="58"/>
      <c r="F16" s="61">
        <v>729</v>
      </c>
      <c r="G16" s="66">
        <v>2829.48</v>
      </c>
    </row>
    <row r="17" spans="1:7" x14ac:dyDescent="0.25">
      <c r="A17" s="59">
        <v>230</v>
      </c>
      <c r="B17" s="60" t="s">
        <v>34</v>
      </c>
      <c r="C17" s="58"/>
      <c r="D17" s="58"/>
      <c r="E17" s="58"/>
      <c r="F17" s="61">
        <v>6</v>
      </c>
      <c r="G17" s="63">
        <v>157.94999999999999</v>
      </c>
    </row>
    <row r="18" spans="1:7" x14ac:dyDescent="0.25">
      <c r="A18" s="59">
        <v>235</v>
      </c>
      <c r="B18" s="60" t="s">
        <v>59</v>
      </c>
      <c r="C18" s="58"/>
      <c r="D18" s="58"/>
      <c r="E18" s="58"/>
      <c r="F18" s="61">
        <v>51</v>
      </c>
      <c r="G18" s="63">
        <v>596.99</v>
      </c>
    </row>
    <row r="19" spans="1:7" x14ac:dyDescent="0.25">
      <c r="A19" s="59">
        <v>240</v>
      </c>
      <c r="B19" s="60" t="s">
        <v>35</v>
      </c>
      <c r="C19" s="58"/>
      <c r="D19" s="58"/>
      <c r="E19" s="58"/>
      <c r="F19" s="61">
        <v>251</v>
      </c>
      <c r="G19" s="66">
        <v>1014.84</v>
      </c>
    </row>
    <row r="20" spans="1:7" x14ac:dyDescent="0.25">
      <c r="A20" s="59">
        <v>250</v>
      </c>
      <c r="B20" s="60" t="s">
        <v>36</v>
      </c>
      <c r="C20" s="58"/>
      <c r="D20" s="58"/>
      <c r="E20" s="58"/>
      <c r="F20" s="61">
        <v>130</v>
      </c>
      <c r="G20" s="63">
        <v>667.6</v>
      </c>
    </row>
    <row r="21" spans="1:7" x14ac:dyDescent="0.25">
      <c r="A21" s="59">
        <v>310</v>
      </c>
      <c r="B21" s="60" t="s">
        <v>37</v>
      </c>
      <c r="C21" s="58"/>
      <c r="D21" s="58"/>
      <c r="E21" s="58"/>
      <c r="F21" s="61">
        <v>973</v>
      </c>
      <c r="G21" s="66">
        <v>5282.2</v>
      </c>
    </row>
    <row r="22" spans="1:7" x14ac:dyDescent="0.25">
      <c r="A22" s="59">
        <v>320</v>
      </c>
      <c r="B22" s="60" t="s">
        <v>38</v>
      </c>
      <c r="C22" s="58"/>
      <c r="D22" s="58"/>
      <c r="E22" s="58"/>
      <c r="F22" s="61">
        <v>700</v>
      </c>
      <c r="G22" s="66">
        <v>7402.84</v>
      </c>
    </row>
    <row r="23" spans="1:7" x14ac:dyDescent="0.25">
      <c r="A23" s="59">
        <v>330</v>
      </c>
      <c r="B23" s="60" t="s">
        <v>39</v>
      </c>
      <c r="C23" s="58"/>
      <c r="D23" s="58"/>
      <c r="E23" s="58"/>
      <c r="F23" s="61">
        <v>239</v>
      </c>
      <c r="G23" s="66">
        <v>2075.5300000000002</v>
      </c>
    </row>
    <row r="24" spans="1:7" x14ac:dyDescent="0.25">
      <c r="A24" s="59">
        <v>340</v>
      </c>
      <c r="B24" s="60" t="s">
        <v>40</v>
      </c>
      <c r="C24" s="58"/>
      <c r="D24" s="58"/>
      <c r="E24" s="58"/>
      <c r="F24" s="61">
        <v>164</v>
      </c>
      <c r="G24" s="66">
        <v>2417.2399999999998</v>
      </c>
    </row>
    <row r="25" spans="1:7" x14ac:dyDescent="0.25">
      <c r="A25" s="59">
        <v>350</v>
      </c>
      <c r="B25" s="60" t="s">
        <v>41</v>
      </c>
      <c r="C25" s="58"/>
      <c r="D25" s="58"/>
      <c r="E25" s="58"/>
      <c r="F25" s="61">
        <v>145</v>
      </c>
      <c r="G25" s="66">
        <v>1530.03</v>
      </c>
    </row>
    <row r="26" spans="1:7" x14ac:dyDescent="0.25">
      <c r="A26" s="59">
        <v>410</v>
      </c>
      <c r="B26" s="60" t="s">
        <v>42</v>
      </c>
      <c r="C26" s="58"/>
      <c r="D26" s="58"/>
      <c r="E26" s="58"/>
      <c r="F26" s="61">
        <v>4339</v>
      </c>
      <c r="G26" s="64">
        <v>15541.43</v>
      </c>
    </row>
    <row r="27" spans="1:7" x14ac:dyDescent="0.25">
      <c r="A27" s="59">
        <v>420</v>
      </c>
      <c r="B27" s="60" t="s">
        <v>43</v>
      </c>
      <c r="C27" s="58"/>
      <c r="D27" s="58"/>
      <c r="E27" s="58"/>
      <c r="F27" s="61">
        <v>189</v>
      </c>
      <c r="G27" s="66">
        <v>1468.72</v>
      </c>
    </row>
    <row r="28" spans="1:7" x14ac:dyDescent="0.25">
      <c r="A28" s="59">
        <v>510</v>
      </c>
      <c r="B28" s="60" t="s">
        <v>44</v>
      </c>
      <c r="C28" s="58"/>
      <c r="D28" s="58"/>
      <c r="E28" s="58"/>
      <c r="F28" s="61">
        <v>330</v>
      </c>
      <c r="G28" s="66">
        <v>2882.57</v>
      </c>
    </row>
    <row r="29" spans="1:7" x14ac:dyDescent="0.25">
      <c r="A29" s="59">
        <v>520</v>
      </c>
      <c r="B29" s="60" t="s">
        <v>45</v>
      </c>
      <c r="C29" s="58"/>
      <c r="D29" s="58"/>
      <c r="E29" s="58"/>
      <c r="F29" s="61">
        <v>349</v>
      </c>
      <c r="G29" s="66">
        <v>5493.71</v>
      </c>
    </row>
    <row r="30" spans="1:7" x14ac:dyDescent="0.25">
      <c r="A30" s="59">
        <v>550</v>
      </c>
      <c r="B30" s="60" t="s">
        <v>48</v>
      </c>
      <c r="C30" s="58"/>
      <c r="D30" s="58"/>
      <c r="E30" s="58"/>
      <c r="F30" s="61">
        <v>2</v>
      </c>
      <c r="G30" s="65">
        <v>27.98</v>
      </c>
    </row>
    <row r="31" spans="1:7" x14ac:dyDescent="0.25">
      <c r="A31" s="59">
        <v>1300</v>
      </c>
      <c r="B31" s="60" t="s">
        <v>51</v>
      </c>
      <c r="C31" s="58"/>
      <c r="D31" s="58"/>
      <c r="E31" s="58"/>
      <c r="F31" s="61">
        <v>27</v>
      </c>
      <c r="G31" s="65">
        <v>76.790000000000006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F35" sqref="F35"/>
    </sheetView>
  </sheetViews>
  <sheetFormatPr defaultRowHeight="15" x14ac:dyDescent="0.25"/>
  <sheetData>
    <row r="1" spans="1:7" x14ac:dyDescent="0.25">
      <c r="A1" s="68">
        <v>110</v>
      </c>
      <c r="B1" s="69" t="s">
        <v>22</v>
      </c>
      <c r="C1" s="67"/>
      <c r="D1" s="67"/>
      <c r="E1" s="67"/>
      <c r="F1" s="70">
        <v>25</v>
      </c>
      <c r="G1" s="71">
        <v>6.95</v>
      </c>
    </row>
    <row r="2" spans="1:7" x14ac:dyDescent="0.25">
      <c r="A2" s="68">
        <v>120</v>
      </c>
      <c r="B2" s="69" t="s">
        <v>23</v>
      </c>
      <c r="C2" s="67"/>
      <c r="D2" s="67"/>
      <c r="E2" s="67"/>
      <c r="F2" s="70">
        <v>48</v>
      </c>
      <c r="G2" s="72">
        <v>30.7</v>
      </c>
    </row>
    <row r="3" spans="1:7" x14ac:dyDescent="0.25">
      <c r="A3" s="68">
        <v>130</v>
      </c>
      <c r="B3" s="69" t="s">
        <v>24</v>
      </c>
      <c r="C3" s="67"/>
      <c r="D3" s="67"/>
      <c r="E3" s="67"/>
      <c r="F3" s="70">
        <v>5</v>
      </c>
      <c r="G3" s="71">
        <v>2.92</v>
      </c>
    </row>
    <row r="4" spans="1:7" x14ac:dyDescent="0.25">
      <c r="A4" s="68">
        <v>142</v>
      </c>
      <c r="B4" s="69" t="s">
        <v>26</v>
      </c>
      <c r="C4" s="67"/>
      <c r="D4" s="67"/>
      <c r="E4" s="67"/>
      <c r="F4" s="70">
        <v>163</v>
      </c>
      <c r="G4" s="67"/>
    </row>
    <row r="5" spans="1:7" x14ac:dyDescent="0.25">
      <c r="A5" s="68">
        <v>150</v>
      </c>
      <c r="B5" s="69" t="s">
        <v>27</v>
      </c>
      <c r="C5" s="67"/>
      <c r="D5" s="67"/>
      <c r="E5" s="67"/>
      <c r="F5" s="70">
        <v>43</v>
      </c>
      <c r="G5" s="72">
        <v>17.36</v>
      </c>
    </row>
    <row r="6" spans="1:7" x14ac:dyDescent="0.25">
      <c r="A6" s="68">
        <v>160</v>
      </c>
      <c r="B6" s="69" t="s">
        <v>28</v>
      </c>
      <c r="C6" s="67"/>
      <c r="D6" s="67"/>
      <c r="E6" s="67"/>
      <c r="F6" s="70">
        <v>6</v>
      </c>
      <c r="G6" s="71">
        <v>4.46</v>
      </c>
    </row>
    <row r="7" spans="1:7" x14ac:dyDescent="0.25">
      <c r="A7" s="68">
        <v>210</v>
      </c>
      <c r="B7" s="69" t="s">
        <v>32</v>
      </c>
      <c r="C7" s="67"/>
      <c r="D7" s="67"/>
      <c r="E7" s="67"/>
      <c r="F7" s="70">
        <v>23</v>
      </c>
      <c r="G7" s="67"/>
    </row>
    <row r="8" spans="1:7" x14ac:dyDescent="0.25">
      <c r="A8" s="68">
        <v>220</v>
      </c>
      <c r="B8" s="69" t="s">
        <v>33</v>
      </c>
      <c r="C8" s="67"/>
      <c r="D8" s="67"/>
      <c r="E8" s="67"/>
      <c r="F8" s="70">
        <v>3</v>
      </c>
      <c r="G8" s="71">
        <v>2.13</v>
      </c>
    </row>
    <row r="9" spans="1:7" x14ac:dyDescent="0.25">
      <c r="A9" s="68">
        <v>310</v>
      </c>
      <c r="B9" s="69" t="s">
        <v>37</v>
      </c>
      <c r="C9" s="67"/>
      <c r="D9" s="67"/>
      <c r="E9" s="67"/>
      <c r="F9" s="70">
        <v>5</v>
      </c>
      <c r="G9" s="71">
        <v>4.2300000000000004</v>
      </c>
    </row>
    <row r="10" spans="1:7" x14ac:dyDescent="0.25">
      <c r="A10" s="68">
        <v>320</v>
      </c>
      <c r="B10" s="69" t="s">
        <v>38</v>
      </c>
      <c r="C10" s="67"/>
      <c r="D10" s="67"/>
      <c r="E10" s="67"/>
      <c r="F10" s="70">
        <v>2</v>
      </c>
      <c r="G10" s="67"/>
    </row>
    <row r="11" spans="1:7" x14ac:dyDescent="0.25">
      <c r="A11" s="68">
        <v>330</v>
      </c>
      <c r="B11" s="69" t="s">
        <v>39</v>
      </c>
      <c r="C11" s="67"/>
      <c r="D11" s="67"/>
      <c r="E11" s="67"/>
      <c r="F11" s="70">
        <v>7</v>
      </c>
      <c r="G11" s="71">
        <v>7.41</v>
      </c>
    </row>
    <row r="12" spans="1:7" x14ac:dyDescent="0.25">
      <c r="A12" s="68">
        <v>350</v>
      </c>
      <c r="B12" s="69" t="s">
        <v>41</v>
      </c>
      <c r="C12" s="67"/>
      <c r="D12" s="67"/>
      <c r="E12" s="67"/>
      <c r="F12" s="70">
        <v>2</v>
      </c>
      <c r="G12" s="71">
        <v>2.29</v>
      </c>
    </row>
    <row r="13" spans="1:7" x14ac:dyDescent="0.25">
      <c r="A13" s="68">
        <v>410</v>
      </c>
      <c r="B13" s="69" t="s">
        <v>42</v>
      </c>
      <c r="C13" s="67"/>
      <c r="D13" s="67"/>
      <c r="E13" s="67"/>
      <c r="F13" s="70">
        <v>6</v>
      </c>
      <c r="G13" s="71">
        <v>1.25</v>
      </c>
    </row>
    <row r="14" spans="1:7" x14ac:dyDescent="0.25">
      <c r="A14" s="68">
        <v>510</v>
      </c>
      <c r="B14" s="69" t="s">
        <v>44</v>
      </c>
      <c r="C14" s="67"/>
      <c r="D14" s="67"/>
      <c r="E14" s="67"/>
      <c r="F14" s="70">
        <v>3</v>
      </c>
      <c r="G14" s="71">
        <v>2.34</v>
      </c>
    </row>
    <row r="15" spans="1:7" x14ac:dyDescent="0.25">
      <c r="A15" s="52"/>
      <c r="B15" s="53"/>
      <c r="C15" s="51"/>
      <c r="D15" s="51"/>
      <c r="E15" s="51"/>
      <c r="F15" s="54"/>
      <c r="G15" s="55"/>
    </row>
    <row r="16" spans="1:7" x14ac:dyDescent="0.25">
      <c r="A16" s="46"/>
      <c r="B16" s="47"/>
      <c r="C16" s="45"/>
      <c r="D16" s="45"/>
      <c r="E16" s="45"/>
      <c r="F16" s="48"/>
      <c r="G16" s="49"/>
    </row>
    <row r="17" spans="1:7" x14ac:dyDescent="0.25">
      <c r="A17" s="46"/>
      <c r="B17" s="47"/>
      <c r="C17" s="45"/>
      <c r="D17" s="45"/>
      <c r="E17" s="45"/>
      <c r="F17" s="48"/>
      <c r="G17" s="49"/>
    </row>
    <row r="18" spans="1:7" x14ac:dyDescent="0.25">
      <c r="A18" s="26"/>
      <c r="B18" s="27"/>
      <c r="C18" s="25"/>
      <c r="D18" s="25"/>
      <c r="E18" s="25"/>
      <c r="F18" s="28"/>
      <c r="G18" s="30"/>
    </row>
    <row r="19" spans="1:7" x14ac:dyDescent="0.25">
      <c r="A19" s="26"/>
      <c r="B19" s="27"/>
      <c r="C19" s="25"/>
      <c r="D19" s="25"/>
      <c r="E19" s="25"/>
      <c r="F19" s="28"/>
      <c r="G19" s="32"/>
    </row>
    <row r="20" spans="1:7" x14ac:dyDescent="0.25">
      <c r="A20" s="26"/>
      <c r="B20" s="27"/>
      <c r="C20" s="25"/>
      <c r="D20" s="25"/>
      <c r="E20" s="25"/>
      <c r="F20" s="28"/>
      <c r="G20" s="32"/>
    </row>
    <row r="21" spans="1:7" x14ac:dyDescent="0.25">
      <c r="A21" s="26"/>
      <c r="B21" s="27"/>
      <c r="C21" s="25"/>
      <c r="D21" s="25"/>
      <c r="E21" s="25"/>
      <c r="F21" s="28"/>
      <c r="G21" s="32"/>
    </row>
    <row r="22" spans="1:7" x14ac:dyDescent="0.25">
      <c r="A22" s="26"/>
      <c r="B22" s="27"/>
      <c r="C22" s="25"/>
      <c r="D22" s="25"/>
      <c r="E22" s="25"/>
      <c r="F22" s="28"/>
      <c r="G22" s="32"/>
    </row>
    <row r="23" spans="1:7" x14ac:dyDescent="0.25">
      <c r="A23" s="26"/>
      <c r="B23" s="27"/>
      <c r="C23" s="25"/>
      <c r="D23" s="25"/>
      <c r="E23" s="25"/>
      <c r="F23" s="28"/>
      <c r="G23" s="32"/>
    </row>
    <row r="24" spans="1:7" x14ac:dyDescent="0.25">
      <c r="A24" s="26"/>
      <c r="B24" s="27"/>
      <c r="C24" s="25"/>
      <c r="D24" s="25"/>
      <c r="E24" s="25"/>
      <c r="F24" s="28"/>
      <c r="G24" s="31"/>
    </row>
    <row r="25" spans="1:7" x14ac:dyDescent="0.25">
      <c r="A25" s="26"/>
      <c r="B25" s="27"/>
      <c r="C25" s="25"/>
      <c r="D25" s="25"/>
      <c r="E25" s="25"/>
      <c r="F25" s="28"/>
      <c r="G25" s="30"/>
    </row>
    <row r="26" spans="1:7" x14ac:dyDescent="0.25">
      <c r="A26" s="26"/>
      <c r="B26" s="27"/>
      <c r="C26" s="25"/>
      <c r="D26" s="25"/>
      <c r="E26" s="25"/>
      <c r="F26" s="28"/>
      <c r="G26" s="32"/>
    </row>
    <row r="27" spans="1:7" x14ac:dyDescent="0.25">
      <c r="A27" s="26"/>
      <c r="B27" s="27"/>
      <c r="C27" s="25"/>
      <c r="D27" s="25"/>
      <c r="E27" s="25"/>
      <c r="F27" s="28"/>
      <c r="G27" s="32"/>
    </row>
    <row r="28" spans="1:7" x14ac:dyDescent="0.25">
      <c r="A28" s="26"/>
      <c r="B28" s="27"/>
      <c r="C28" s="25"/>
      <c r="D28" s="25"/>
      <c r="E28" s="25"/>
      <c r="F28" s="28"/>
      <c r="G28" s="29"/>
    </row>
    <row r="29" spans="1:7" x14ac:dyDescent="0.25">
      <c r="A29" s="26"/>
      <c r="B29" s="27"/>
      <c r="C29" s="25"/>
      <c r="D29" s="25"/>
      <c r="E29" s="25"/>
      <c r="F29" s="28"/>
      <c r="G29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18"/>
      <c r="B1" s="18"/>
      <c r="C1" s="18"/>
    </row>
    <row r="2" spans="1:9" x14ac:dyDescent="0.25">
      <c r="A2" s="22"/>
      <c r="B2" s="22"/>
      <c r="C2" s="22"/>
      <c r="D2" s="22"/>
    </row>
    <row r="3" spans="1:9" x14ac:dyDescent="0.25">
      <c r="A3" s="18"/>
      <c r="B3" s="19"/>
    </row>
    <row r="4" spans="1:9" x14ac:dyDescent="0.25">
      <c r="A4" s="18"/>
      <c r="B4" s="19"/>
    </row>
    <row r="5" spans="1:9" x14ac:dyDescent="0.25">
      <c r="A5" s="18"/>
      <c r="B5" s="19"/>
    </row>
    <row r="6" spans="1:9" x14ac:dyDescent="0.25">
      <c r="A6" s="18"/>
      <c r="B6" s="19"/>
    </row>
    <row r="7" spans="1:9" x14ac:dyDescent="0.25">
      <c r="A7" s="18"/>
      <c r="B7" s="19"/>
    </row>
    <row r="8" spans="1:9" x14ac:dyDescent="0.25">
      <c r="A8" s="18"/>
      <c r="B8" s="19"/>
    </row>
    <row r="9" spans="1:9" x14ac:dyDescent="0.25">
      <c r="A9" s="22"/>
      <c r="B9" s="22"/>
      <c r="C9" s="22"/>
      <c r="D9" s="22"/>
    </row>
    <row r="10" spans="1:9" x14ac:dyDescent="0.25">
      <c r="A10" s="18"/>
      <c r="B10" s="18"/>
      <c r="C10" s="18"/>
      <c r="D10" s="18"/>
      <c r="E10" s="18"/>
      <c r="F10" s="18"/>
      <c r="G10" s="18"/>
      <c r="H10" s="18"/>
    </row>
    <row r="11" spans="1:9" x14ac:dyDescent="0.25">
      <c r="A11" s="19"/>
      <c r="B11" s="19"/>
      <c r="C11" s="19"/>
      <c r="D11" s="19"/>
      <c r="E11" s="19"/>
      <c r="F11" s="19"/>
      <c r="G11" s="20"/>
      <c r="H11" s="19"/>
    </row>
    <row r="12" spans="1:9" x14ac:dyDescent="0.25">
      <c r="A12" s="19"/>
      <c r="B12" s="19"/>
      <c r="C12" s="19"/>
      <c r="D12" s="19"/>
      <c r="E12" s="19"/>
      <c r="F12" s="19"/>
      <c r="G12" s="20"/>
      <c r="H12" s="19"/>
      <c r="I12" s="19"/>
    </row>
    <row r="13" spans="1:9" ht="15" customHeight="1" x14ac:dyDescent="0.25">
      <c r="A13" s="19"/>
      <c r="B13" s="19"/>
      <c r="C13" s="19"/>
      <c r="D13" s="19"/>
      <c r="E13" s="19"/>
      <c r="F13" s="19"/>
      <c r="G13" s="20"/>
      <c r="H13" s="19"/>
      <c r="I13" s="19"/>
    </row>
    <row r="14" spans="1:9" x14ac:dyDescent="0.25">
      <c r="A14" s="19"/>
      <c r="B14" s="19"/>
      <c r="C14" s="19"/>
      <c r="D14" s="19"/>
      <c r="E14" s="19"/>
      <c r="F14" s="19"/>
      <c r="G14" s="20"/>
      <c r="H14" s="19"/>
      <c r="I14" s="19"/>
    </row>
    <row r="15" spans="1:9" x14ac:dyDescent="0.25">
      <c r="A15" s="19"/>
      <c r="B15" s="19"/>
      <c r="C15" s="19"/>
      <c r="D15" s="19"/>
      <c r="E15" s="19"/>
      <c r="F15" s="19"/>
      <c r="G15" s="20"/>
      <c r="H15" s="19"/>
      <c r="I15" s="19"/>
    </row>
    <row r="16" spans="1:9" ht="15" customHeight="1" x14ac:dyDescent="0.25">
      <c r="A16" s="19"/>
      <c r="B16" s="19"/>
      <c r="C16" s="19"/>
      <c r="D16" s="19"/>
      <c r="E16" s="19"/>
      <c r="F16" s="19"/>
      <c r="G16" s="20"/>
      <c r="H16" s="19"/>
      <c r="I16" s="19"/>
    </row>
    <row r="17" spans="1:9" x14ac:dyDescent="0.25">
      <c r="A17" s="19"/>
      <c r="B17" s="19"/>
      <c r="C17" s="19"/>
      <c r="D17" s="19"/>
      <c r="E17" s="19"/>
      <c r="F17" s="19"/>
      <c r="G17" s="20"/>
      <c r="H17" s="19"/>
    </row>
    <row r="18" spans="1:9" x14ac:dyDescent="0.25">
      <c r="A18" s="19"/>
      <c r="B18" s="19"/>
      <c r="C18" s="19"/>
      <c r="D18" s="19"/>
      <c r="E18" s="19"/>
      <c r="F18" s="19"/>
      <c r="G18" s="20"/>
      <c r="H18" s="19"/>
      <c r="I18" s="19"/>
    </row>
    <row r="19" spans="1:9" x14ac:dyDescent="0.25">
      <c r="A19" s="19"/>
      <c r="B19" s="19"/>
      <c r="C19" s="19"/>
      <c r="D19" s="19"/>
      <c r="E19" s="19"/>
      <c r="F19" s="19"/>
      <c r="G19" s="20"/>
      <c r="H19" s="19"/>
      <c r="I19" s="19"/>
    </row>
    <row r="20" spans="1:9" x14ac:dyDescent="0.25">
      <c r="A20" s="19"/>
      <c r="B20" s="19"/>
      <c r="C20" s="19"/>
      <c r="D20" s="19"/>
      <c r="E20" s="19"/>
      <c r="F20" s="19"/>
      <c r="G20" s="20"/>
      <c r="H20" s="19"/>
      <c r="I20" s="19"/>
    </row>
    <row r="21" spans="1:9" x14ac:dyDescent="0.25">
      <c r="A21" s="19"/>
      <c r="B21" s="19"/>
      <c r="C21" s="19"/>
      <c r="D21" s="19"/>
      <c r="E21" s="19"/>
      <c r="F21" s="19"/>
      <c r="G21" s="20"/>
      <c r="H21" s="19"/>
      <c r="I21" s="19"/>
    </row>
    <row r="22" spans="1:9" x14ac:dyDescent="0.25">
      <c r="A22" s="19"/>
      <c r="B22" s="19"/>
      <c r="C22" s="19"/>
      <c r="D22" s="19"/>
      <c r="E22" s="19"/>
      <c r="F22" s="19"/>
      <c r="G22" s="20"/>
      <c r="H22" s="19"/>
      <c r="I22" s="19"/>
    </row>
    <row r="23" spans="1:9" x14ac:dyDescent="0.25">
      <c r="A23" s="19"/>
      <c r="B23" s="19"/>
      <c r="C23" s="19"/>
      <c r="D23" s="19"/>
      <c r="E23" s="19"/>
      <c r="F23" s="19"/>
      <c r="G23" s="20"/>
      <c r="H23" s="19"/>
      <c r="I23" s="19"/>
    </row>
    <row r="24" spans="1:9" x14ac:dyDescent="0.25">
      <c r="A24" s="19"/>
      <c r="B24" s="19"/>
      <c r="C24" s="19"/>
      <c r="D24" s="19"/>
      <c r="E24" s="19"/>
      <c r="F24" s="19"/>
      <c r="G24" s="20"/>
      <c r="H24" s="19"/>
      <c r="I24" s="19"/>
    </row>
    <row r="25" spans="1:9" x14ac:dyDescent="0.25">
      <c r="A25" s="19"/>
      <c r="B25" s="19"/>
      <c r="C25" s="19"/>
      <c r="D25" s="19"/>
      <c r="E25" s="19"/>
      <c r="F25" s="19"/>
      <c r="G25" s="20"/>
      <c r="H25" s="19"/>
      <c r="I25" s="19"/>
    </row>
    <row r="26" spans="1:9" x14ac:dyDescent="0.25">
      <c r="A26" s="19"/>
      <c r="B26" s="19"/>
      <c r="C26" s="19"/>
      <c r="D26" s="19"/>
      <c r="E26" s="19"/>
      <c r="F26" s="19"/>
      <c r="G26" s="20"/>
      <c r="H26" s="19"/>
      <c r="I26" s="19"/>
    </row>
    <row r="27" spans="1:9" x14ac:dyDescent="0.25">
      <c r="A27" s="19"/>
      <c r="B27" s="19"/>
      <c r="C27" s="19"/>
      <c r="D27" s="19"/>
      <c r="E27" s="19"/>
      <c r="F27" s="19"/>
      <c r="G27" s="20"/>
      <c r="H27" s="19"/>
      <c r="I27" s="19"/>
    </row>
    <row r="28" spans="1:9" x14ac:dyDescent="0.25">
      <c r="A28" s="19"/>
      <c r="B28" s="19"/>
      <c r="C28" s="19"/>
      <c r="D28" s="19"/>
      <c r="E28" s="19"/>
      <c r="F28" s="19"/>
      <c r="G28" s="20"/>
      <c r="H28" s="19"/>
      <c r="I28" s="19"/>
    </row>
    <row r="29" spans="1:9" x14ac:dyDescent="0.25">
      <c r="A29" s="19"/>
      <c r="B29" s="19"/>
      <c r="C29" s="19"/>
      <c r="D29" s="19"/>
      <c r="E29" s="19"/>
      <c r="F29" s="19"/>
      <c r="G29" s="20"/>
      <c r="H29" s="19"/>
      <c r="I29" s="19"/>
    </row>
    <row r="30" spans="1:9" x14ac:dyDescent="0.25">
      <c r="A30" s="19"/>
      <c r="B30" s="19"/>
      <c r="C30" s="19"/>
      <c r="D30" s="19"/>
      <c r="E30" s="19"/>
      <c r="F30" s="19"/>
      <c r="G30" s="20"/>
      <c r="H30" s="19"/>
      <c r="I30" s="19"/>
    </row>
    <row r="31" spans="1:9" x14ac:dyDescent="0.25">
      <c r="A31" s="19"/>
      <c r="B31" s="19"/>
      <c r="C31" s="19"/>
      <c r="D31" s="19"/>
      <c r="E31" s="19"/>
      <c r="F31" s="19"/>
      <c r="G31" s="20"/>
      <c r="H31" s="19"/>
      <c r="I31" s="19"/>
    </row>
    <row r="32" spans="1:9" x14ac:dyDescent="0.25">
      <c r="A32" s="19"/>
      <c r="B32" s="19"/>
      <c r="C32" s="19"/>
      <c r="D32" s="19"/>
      <c r="E32" s="19"/>
      <c r="F32" s="19"/>
      <c r="G32" s="20"/>
      <c r="H32" s="19"/>
      <c r="I32" s="19"/>
    </row>
    <row r="33" spans="1:9" x14ac:dyDescent="0.25">
      <c r="A33" s="19"/>
      <c r="B33" s="19"/>
      <c r="C33" s="19"/>
      <c r="D33" s="19"/>
      <c r="E33" s="19"/>
      <c r="F33" s="19"/>
      <c r="G33" s="20"/>
      <c r="H33" s="19"/>
      <c r="I33" s="19"/>
    </row>
    <row r="34" spans="1:9" x14ac:dyDescent="0.25">
      <c r="A34" s="19"/>
      <c r="B34" s="19"/>
      <c r="C34" s="19"/>
      <c r="D34" s="19"/>
      <c r="E34" s="19"/>
      <c r="F34" s="19"/>
      <c r="G34" s="20"/>
      <c r="H34" s="19"/>
      <c r="I34" s="19"/>
    </row>
    <row r="35" spans="1:9" x14ac:dyDescent="0.25">
      <c r="A35" s="19"/>
      <c r="B35" s="19"/>
      <c r="C35" s="19"/>
      <c r="D35" s="19"/>
      <c r="E35" s="19"/>
      <c r="F35" s="19"/>
      <c r="G35" s="20"/>
      <c r="H35" s="19"/>
      <c r="I35" s="19"/>
    </row>
    <row r="36" spans="1:9" x14ac:dyDescent="0.25">
      <c r="A36" s="19"/>
      <c r="B36" s="19"/>
      <c r="C36" s="19"/>
      <c r="D36" s="19"/>
      <c r="E36" s="19"/>
      <c r="F36" s="19"/>
      <c r="G36" s="20"/>
      <c r="H36" s="19"/>
    </row>
    <row r="37" spans="1:9" x14ac:dyDescent="0.25">
      <c r="A37" s="22"/>
      <c r="B37" s="22"/>
      <c r="C37" s="22"/>
      <c r="D37" s="22"/>
      <c r="E37" s="22"/>
      <c r="F37" s="22"/>
      <c r="G37" s="22"/>
      <c r="H37" s="22"/>
    </row>
    <row r="38" spans="1:9" ht="15" customHeight="1" x14ac:dyDescent="0.25">
      <c r="A38" s="22"/>
      <c r="B38" s="22"/>
      <c r="C38" s="22"/>
      <c r="D38" s="22"/>
      <c r="E38" s="22"/>
      <c r="F38" s="18"/>
      <c r="G38" s="21"/>
    </row>
    <row r="39" spans="1:9" x14ac:dyDescent="0.25">
      <c r="A39" s="18"/>
    </row>
    <row r="40" spans="1:9" x14ac:dyDescent="0.25">
      <c r="A40" s="22"/>
      <c r="B40" s="22"/>
      <c r="C40" s="22"/>
      <c r="D40" s="22"/>
      <c r="E40" s="22"/>
      <c r="F40" s="22"/>
      <c r="G40" s="22"/>
      <c r="H40" s="22"/>
    </row>
    <row r="41" spans="1:9" ht="15" customHeight="1" x14ac:dyDescent="0.25">
      <c r="A41" s="22"/>
      <c r="B41" s="22"/>
      <c r="C41" s="22"/>
      <c r="D41" s="22"/>
      <c r="E41" s="22"/>
      <c r="F41" s="18"/>
      <c r="G41" s="21"/>
      <c r="H41" s="18"/>
    </row>
    <row r="42" spans="1:9" x14ac:dyDescent="0.25">
      <c r="A42" s="19"/>
      <c r="B42" s="19"/>
      <c r="C42" s="19"/>
      <c r="D42" s="19"/>
      <c r="E42" s="19"/>
      <c r="F42" s="19"/>
      <c r="G42" s="20"/>
      <c r="H42" s="19"/>
    </row>
    <row r="43" spans="1:9" x14ac:dyDescent="0.25">
      <c r="A43" s="19"/>
      <c r="B43" s="19"/>
      <c r="C43" s="19"/>
      <c r="D43" s="19"/>
      <c r="E43" s="19"/>
      <c r="F43" s="19"/>
      <c r="G43" s="20"/>
      <c r="H43" s="19"/>
    </row>
    <row r="44" spans="1:9" x14ac:dyDescent="0.25">
      <c r="A44" s="19"/>
      <c r="B44" s="19"/>
      <c r="C44" s="19"/>
      <c r="D44" s="19"/>
      <c r="E44" s="19"/>
      <c r="F44" s="19"/>
      <c r="G44" s="20"/>
      <c r="H44" s="19"/>
    </row>
    <row r="45" spans="1:9" x14ac:dyDescent="0.25">
      <c r="A45" s="19"/>
      <c r="B45" s="19"/>
      <c r="C45" s="19"/>
      <c r="D45" s="19"/>
      <c r="E45" s="19"/>
      <c r="F45" s="19"/>
      <c r="G45" s="20"/>
      <c r="H45" s="19"/>
    </row>
    <row r="46" spans="1:9" x14ac:dyDescent="0.25">
      <c r="A46" s="19"/>
      <c r="B46" s="19"/>
      <c r="C46" s="19"/>
      <c r="D46" s="19"/>
      <c r="E46" s="19"/>
      <c r="F46" s="19"/>
      <c r="G46" s="20"/>
      <c r="H46" s="19"/>
    </row>
    <row r="47" spans="1:9" x14ac:dyDescent="0.25">
      <c r="A47" s="19"/>
      <c r="B47" s="19"/>
      <c r="C47" s="19"/>
      <c r="D47" s="19"/>
      <c r="E47" s="19"/>
      <c r="F47" s="19"/>
      <c r="G47" s="20"/>
      <c r="H47" s="19"/>
    </row>
    <row r="48" spans="1:9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ht="15" customHeight="1" x14ac:dyDescent="0.25">
      <c r="A58" s="22"/>
      <c r="B58" s="22"/>
      <c r="C58" s="22"/>
      <c r="D58" s="22"/>
      <c r="E58" s="22"/>
      <c r="F58" s="18"/>
      <c r="G58" s="21"/>
    </row>
    <row r="59" spans="1:8" x14ac:dyDescent="0.25">
      <c r="A59" s="18"/>
    </row>
    <row r="60" spans="1:8" x14ac:dyDescent="0.25">
      <c r="A60" s="22"/>
      <c r="B60" s="22"/>
      <c r="C60" s="22"/>
      <c r="D60" s="22"/>
      <c r="E60" s="22"/>
      <c r="F60" s="22"/>
      <c r="G60" s="22"/>
      <c r="H60" s="22"/>
    </row>
    <row r="61" spans="1:8" ht="15" customHeight="1" x14ac:dyDescent="0.25">
      <c r="A61" s="22"/>
      <c r="B61" s="22"/>
      <c r="C61" s="22"/>
      <c r="D61" s="22"/>
      <c r="E61" s="22"/>
      <c r="F61" s="18"/>
      <c r="G61" s="21"/>
      <c r="H61" s="18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22"/>
      <c r="B177" s="22"/>
      <c r="C177" s="22"/>
      <c r="D177" s="22"/>
      <c r="E177" s="22"/>
      <c r="F177" s="22"/>
      <c r="G177" s="22"/>
      <c r="H177" s="22"/>
    </row>
    <row r="178" spans="1:8" ht="15" customHeight="1" x14ac:dyDescent="0.25">
      <c r="A178" s="22"/>
      <c r="B178" s="22"/>
      <c r="C178" s="22"/>
      <c r="D178" s="22"/>
      <c r="E178" s="22"/>
      <c r="F178" s="18"/>
      <c r="G178" s="21"/>
    </row>
    <row r="179" spans="1:8" x14ac:dyDescent="0.25">
      <c r="A179" s="18"/>
    </row>
    <row r="180" spans="1:8" x14ac:dyDescent="0.25">
      <c r="A180" s="22"/>
      <c r="B180" s="22"/>
      <c r="C180" s="22"/>
      <c r="D180" s="22"/>
      <c r="E180" s="22"/>
      <c r="F180" s="22"/>
      <c r="G180" s="22"/>
      <c r="H180" s="22"/>
    </row>
    <row r="181" spans="1:8" ht="15" customHeight="1" x14ac:dyDescent="0.25">
      <c r="A181" s="22"/>
      <c r="B181" s="22"/>
      <c r="C181" s="22"/>
      <c r="D181" s="22"/>
      <c r="E181" s="22"/>
      <c r="F181" s="18"/>
      <c r="G181" s="21"/>
      <c r="H181" s="18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22"/>
      <c r="B544" s="22"/>
      <c r="C544" s="22"/>
      <c r="D544" s="22"/>
      <c r="E544" s="22"/>
      <c r="F544" s="22"/>
      <c r="G544" s="22"/>
      <c r="H544" s="22"/>
    </row>
    <row r="545" spans="1:8" ht="15" customHeight="1" x14ac:dyDescent="0.25">
      <c r="A545" s="22"/>
      <c r="B545" s="22"/>
      <c r="C545" s="22"/>
      <c r="D545" s="22"/>
      <c r="E545" s="22"/>
      <c r="F545" s="18"/>
      <c r="G545" s="21"/>
    </row>
    <row r="546" spans="1:8" x14ac:dyDescent="0.25">
      <c r="A546" s="18"/>
    </row>
    <row r="547" spans="1:8" x14ac:dyDescent="0.25">
      <c r="A547" s="22"/>
      <c r="B547" s="22"/>
      <c r="C547" s="22"/>
      <c r="D547" s="22"/>
      <c r="E547" s="22"/>
      <c r="F547" s="22"/>
      <c r="G547" s="22"/>
      <c r="H547" s="22"/>
    </row>
    <row r="548" spans="1:8" ht="15" customHeight="1" x14ac:dyDescent="0.25">
      <c r="A548" s="22"/>
      <c r="B548" s="22"/>
      <c r="C548" s="22"/>
      <c r="D548" s="22"/>
      <c r="E548" s="22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22"/>
      <c r="B552" s="22"/>
      <c r="C552" s="22"/>
      <c r="D552" s="22"/>
      <c r="E552" s="22"/>
      <c r="F552" s="22"/>
      <c r="G552" s="22"/>
      <c r="H552" s="22"/>
    </row>
    <row r="553" spans="1:8" ht="15" customHeight="1" x14ac:dyDescent="0.25">
      <c r="A553" s="22"/>
      <c r="B553" s="22"/>
      <c r="C553" s="22"/>
      <c r="D553" s="22"/>
      <c r="E553" s="22"/>
      <c r="F553" s="18"/>
      <c r="G553" s="21"/>
    </row>
    <row r="554" spans="1:8" x14ac:dyDescent="0.25">
      <c r="A554" s="18"/>
    </row>
    <row r="555" spans="1:8" x14ac:dyDescent="0.25">
      <c r="A555" s="22"/>
      <c r="B555" s="22"/>
      <c r="C555" s="22"/>
      <c r="D555" s="22"/>
      <c r="E555" s="22"/>
      <c r="F555" s="22"/>
      <c r="G555" s="22"/>
      <c r="H555" s="22"/>
    </row>
    <row r="556" spans="1:8" ht="15" customHeight="1" x14ac:dyDescent="0.25">
      <c r="A556" s="22"/>
      <c r="B556" s="22"/>
      <c r="C556" s="22"/>
      <c r="D556" s="22"/>
      <c r="E556" s="22"/>
      <c r="F556" s="18"/>
      <c r="G556" s="21"/>
      <c r="H556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18"/>
      <c r="B1" s="18"/>
      <c r="C1" s="18"/>
    </row>
    <row r="2" spans="1:8" x14ac:dyDescent="0.25">
      <c r="A2" s="22"/>
      <c r="B2" s="22"/>
      <c r="C2" s="22"/>
      <c r="D2" s="22"/>
    </row>
    <row r="3" spans="1:8" x14ac:dyDescent="0.25">
      <c r="A3" s="18"/>
      <c r="B3" s="19"/>
    </row>
    <row r="4" spans="1:8" x14ac:dyDescent="0.25">
      <c r="A4" s="18"/>
      <c r="B4" s="19"/>
    </row>
    <row r="5" spans="1:8" x14ac:dyDescent="0.25">
      <c r="A5" s="18"/>
      <c r="B5" s="19"/>
    </row>
    <row r="6" spans="1:8" x14ac:dyDescent="0.25">
      <c r="A6" s="18"/>
      <c r="B6" s="19"/>
    </row>
    <row r="7" spans="1:8" x14ac:dyDescent="0.25">
      <c r="A7" s="18"/>
      <c r="B7" s="19"/>
    </row>
    <row r="8" spans="1:8" x14ac:dyDescent="0.25">
      <c r="A8" s="18"/>
      <c r="B8" s="19"/>
    </row>
    <row r="9" spans="1:8" x14ac:dyDescent="0.25">
      <c r="A9" s="56"/>
      <c r="B9" s="56"/>
      <c r="C9" s="56"/>
      <c r="D9" s="56"/>
    </row>
    <row r="10" spans="1:8" x14ac:dyDescent="0.25">
      <c r="A10" s="18"/>
      <c r="B10" s="18"/>
      <c r="C10" s="18"/>
      <c r="D10" s="18"/>
      <c r="E10" s="18"/>
      <c r="F10" s="18"/>
      <c r="G10" s="18"/>
      <c r="H10" s="18"/>
    </row>
    <row r="11" spans="1:8" x14ac:dyDescent="0.25">
      <c r="A11" s="19"/>
      <c r="B11" s="19"/>
      <c r="C11" s="19"/>
      <c r="D11" s="19"/>
      <c r="E11" s="19"/>
      <c r="F11" s="19"/>
      <c r="G11" s="20"/>
      <c r="H11" s="19"/>
    </row>
    <row r="12" spans="1:8" x14ac:dyDescent="0.25">
      <c r="A12" s="56"/>
      <c r="B12" s="56"/>
      <c r="C12" s="56"/>
      <c r="D12" s="56"/>
      <c r="E12" s="56"/>
      <c r="F12" s="56"/>
      <c r="G12" s="56"/>
      <c r="H12" s="56"/>
    </row>
    <row r="13" spans="1:8" ht="15" customHeight="1" x14ac:dyDescent="0.25">
      <c r="A13" s="56"/>
      <c r="B13" s="56"/>
      <c r="C13" s="56"/>
      <c r="D13" s="56"/>
      <c r="E13" s="56"/>
      <c r="F13" s="18"/>
      <c r="G13" s="21"/>
    </row>
    <row r="14" spans="1:8" x14ac:dyDescent="0.25">
      <c r="A14" s="18"/>
    </row>
    <row r="15" spans="1:8" x14ac:dyDescent="0.25">
      <c r="A15" s="56"/>
      <c r="B15" s="56"/>
      <c r="C15" s="56"/>
      <c r="D15" s="56"/>
      <c r="E15" s="56"/>
      <c r="F15" s="56"/>
      <c r="G15" s="56"/>
      <c r="H15" s="56"/>
    </row>
    <row r="16" spans="1:8" ht="15" customHeight="1" x14ac:dyDescent="0.25">
      <c r="A16" s="56"/>
      <c r="B16" s="56"/>
      <c r="C16" s="56"/>
      <c r="D16" s="56"/>
      <c r="E16" s="56"/>
      <c r="F16" s="18"/>
      <c r="G16" s="21"/>
      <c r="H16" s="18"/>
    </row>
    <row r="17" spans="1:8" x14ac:dyDescent="0.25">
      <c r="A17" s="19"/>
      <c r="B17" s="19"/>
      <c r="C17" s="19"/>
      <c r="D17" s="19"/>
      <c r="E17" s="19"/>
      <c r="F17" s="19"/>
      <c r="G17" s="20"/>
      <c r="H17" s="19"/>
    </row>
    <row r="18" spans="1:8" x14ac:dyDescent="0.25">
      <c r="A18" s="19"/>
      <c r="B18" s="19"/>
      <c r="C18" s="19"/>
      <c r="D18" s="19"/>
      <c r="E18" s="19"/>
      <c r="F18" s="19"/>
      <c r="G18" s="20"/>
      <c r="H18" s="19"/>
    </row>
    <row r="19" spans="1:8" x14ac:dyDescent="0.25">
      <c r="A19" s="19"/>
      <c r="B19" s="19"/>
      <c r="C19" s="19"/>
      <c r="D19" s="19"/>
      <c r="E19" s="19"/>
      <c r="F19" s="19"/>
      <c r="G19" s="20"/>
      <c r="H19" s="19"/>
    </row>
    <row r="20" spans="1:8" x14ac:dyDescent="0.25">
      <c r="A20" s="19"/>
      <c r="B20" s="19"/>
      <c r="C20" s="19"/>
      <c r="D20" s="19"/>
      <c r="E20" s="19"/>
      <c r="F20" s="19"/>
      <c r="G20" s="20"/>
      <c r="H20" s="19"/>
    </row>
    <row r="21" spans="1:8" x14ac:dyDescent="0.25">
      <c r="A21" s="19"/>
      <c r="B21" s="19"/>
      <c r="C21" s="19"/>
      <c r="D21" s="19"/>
      <c r="E21" s="19"/>
      <c r="F21" s="19"/>
      <c r="G21" s="20"/>
      <c r="H21" s="19"/>
    </row>
    <row r="22" spans="1:8" x14ac:dyDescent="0.25">
      <c r="A22" s="19"/>
      <c r="B22" s="19"/>
      <c r="C22" s="19"/>
      <c r="D22" s="19"/>
      <c r="E22" s="19"/>
      <c r="F22" s="19"/>
      <c r="G22" s="20"/>
      <c r="H22" s="19"/>
    </row>
    <row r="23" spans="1:8" x14ac:dyDescent="0.25">
      <c r="A23" s="19"/>
      <c r="B23" s="19"/>
      <c r="C23" s="19"/>
      <c r="D23" s="19"/>
      <c r="E23" s="19"/>
      <c r="F23" s="19"/>
      <c r="G23" s="20"/>
      <c r="H23" s="19"/>
    </row>
    <row r="24" spans="1:8" x14ac:dyDescent="0.25">
      <c r="A24" s="19"/>
      <c r="B24" s="19"/>
      <c r="C24" s="19"/>
      <c r="D24" s="19"/>
      <c r="E24" s="19"/>
      <c r="F24" s="19"/>
      <c r="G24" s="20"/>
      <c r="H24" s="19"/>
    </row>
    <row r="25" spans="1:8" x14ac:dyDescent="0.25">
      <c r="A25" s="19"/>
      <c r="B25" s="19"/>
      <c r="C25" s="19"/>
      <c r="D25" s="19"/>
      <c r="E25" s="19"/>
      <c r="F25" s="19"/>
      <c r="G25" s="20"/>
      <c r="H25" s="19"/>
    </row>
    <row r="26" spans="1:8" x14ac:dyDescent="0.25">
      <c r="A26" s="19"/>
      <c r="B26" s="19"/>
      <c r="C26" s="19"/>
      <c r="D26" s="19"/>
      <c r="E26" s="19"/>
      <c r="F26" s="19"/>
      <c r="G26" s="20"/>
      <c r="H26" s="19"/>
    </row>
    <row r="27" spans="1:8" x14ac:dyDescent="0.25">
      <c r="A27" s="19"/>
      <c r="B27" s="19"/>
      <c r="C27" s="19"/>
      <c r="D27" s="19"/>
      <c r="E27" s="19"/>
      <c r="F27" s="19"/>
      <c r="G27" s="20"/>
      <c r="H27" s="19"/>
    </row>
    <row r="28" spans="1:8" x14ac:dyDescent="0.25">
      <c r="A28" s="19"/>
      <c r="B28" s="19"/>
      <c r="C28" s="19"/>
      <c r="D28" s="19"/>
      <c r="E28" s="19"/>
      <c r="F28" s="19"/>
      <c r="G28" s="20"/>
      <c r="H28" s="19"/>
    </row>
    <row r="29" spans="1:8" x14ac:dyDescent="0.25">
      <c r="A29" s="19"/>
      <c r="B29" s="19"/>
      <c r="C29" s="19"/>
      <c r="D29" s="19"/>
      <c r="E29" s="19"/>
      <c r="F29" s="19"/>
      <c r="G29" s="20"/>
      <c r="H29" s="19"/>
    </row>
    <row r="30" spans="1:8" x14ac:dyDescent="0.25">
      <c r="A30" s="19"/>
      <c r="B30" s="19"/>
      <c r="C30" s="19"/>
      <c r="D30" s="19"/>
      <c r="E30" s="19"/>
      <c r="F30" s="19"/>
      <c r="G30" s="20"/>
      <c r="H30" s="19"/>
    </row>
    <row r="31" spans="1:8" x14ac:dyDescent="0.25">
      <c r="A31" s="19"/>
      <c r="B31" s="19"/>
      <c r="C31" s="19"/>
      <c r="D31" s="19"/>
      <c r="E31" s="19"/>
      <c r="F31" s="19"/>
      <c r="G31" s="20"/>
      <c r="H31" s="19"/>
    </row>
    <row r="32" spans="1:8" x14ac:dyDescent="0.25">
      <c r="A32" s="19"/>
      <c r="B32" s="19"/>
      <c r="C32" s="19"/>
      <c r="D32" s="19"/>
      <c r="E32" s="19"/>
      <c r="F32" s="19"/>
      <c r="G32" s="20"/>
      <c r="H32" s="19"/>
    </row>
    <row r="33" spans="1:8" x14ac:dyDescent="0.25">
      <c r="A33" s="19"/>
      <c r="B33" s="19"/>
      <c r="C33" s="19"/>
      <c r="D33" s="19"/>
      <c r="E33" s="19"/>
      <c r="F33" s="19"/>
      <c r="G33" s="20"/>
      <c r="H33" s="19"/>
    </row>
    <row r="34" spans="1:8" x14ac:dyDescent="0.25">
      <c r="A34" s="19"/>
      <c r="B34" s="19"/>
      <c r="C34" s="19"/>
      <c r="D34" s="19"/>
      <c r="E34" s="19"/>
      <c r="F34" s="19"/>
      <c r="G34" s="20"/>
      <c r="H34" s="19"/>
    </row>
    <row r="35" spans="1:8" x14ac:dyDescent="0.25">
      <c r="A35" s="19"/>
      <c r="B35" s="19"/>
      <c r="C35" s="19"/>
      <c r="D35" s="19"/>
      <c r="E35" s="19"/>
      <c r="F35" s="19"/>
      <c r="G35" s="20"/>
      <c r="H35" s="19"/>
    </row>
    <row r="36" spans="1:8" x14ac:dyDescent="0.25">
      <c r="A36" s="19"/>
      <c r="B36" s="19"/>
      <c r="C36" s="19"/>
      <c r="D36" s="19"/>
      <c r="E36" s="19"/>
      <c r="F36" s="19"/>
      <c r="G36" s="20"/>
      <c r="H36" s="19"/>
    </row>
    <row r="37" spans="1:8" x14ac:dyDescent="0.25">
      <c r="A37" s="19"/>
      <c r="B37" s="19"/>
      <c r="C37" s="19"/>
      <c r="D37" s="19"/>
      <c r="E37" s="19"/>
      <c r="F37" s="19"/>
      <c r="G37" s="20"/>
      <c r="H37" s="19"/>
    </row>
    <row r="38" spans="1:8" x14ac:dyDescent="0.25">
      <c r="A38" s="19"/>
      <c r="B38" s="19"/>
      <c r="C38" s="19"/>
      <c r="D38" s="19"/>
      <c r="E38" s="19"/>
      <c r="F38" s="19"/>
      <c r="G38" s="20"/>
      <c r="H38" s="19"/>
    </row>
    <row r="39" spans="1:8" x14ac:dyDescent="0.25">
      <c r="A39" s="19"/>
      <c r="B39" s="19"/>
      <c r="C39" s="19"/>
      <c r="D39" s="19"/>
      <c r="E39" s="19"/>
      <c r="F39" s="19"/>
      <c r="G39" s="20"/>
      <c r="H39" s="19"/>
    </row>
    <row r="40" spans="1:8" x14ac:dyDescent="0.25">
      <c r="A40" s="19"/>
      <c r="B40" s="19"/>
      <c r="C40" s="19"/>
      <c r="D40" s="19"/>
      <c r="E40" s="19"/>
      <c r="F40" s="19"/>
      <c r="G40" s="20"/>
      <c r="H40" s="19"/>
    </row>
    <row r="41" spans="1:8" x14ac:dyDescent="0.25">
      <c r="A41" s="19"/>
      <c r="B41" s="19"/>
      <c r="C41" s="19"/>
      <c r="D41" s="19"/>
      <c r="E41" s="19"/>
      <c r="F41" s="19"/>
      <c r="G41" s="20"/>
      <c r="H41" s="19"/>
    </row>
    <row r="42" spans="1:8" x14ac:dyDescent="0.25">
      <c r="A42" s="19"/>
      <c r="B42" s="19"/>
      <c r="C42" s="19"/>
      <c r="D42" s="19"/>
      <c r="E42" s="19"/>
      <c r="F42" s="19"/>
      <c r="G42" s="20"/>
      <c r="H42" s="19"/>
    </row>
    <row r="43" spans="1:8" x14ac:dyDescent="0.25">
      <c r="A43" s="19"/>
      <c r="B43" s="19"/>
      <c r="C43" s="19"/>
      <c r="D43" s="19"/>
      <c r="E43" s="19"/>
      <c r="F43" s="19"/>
      <c r="G43" s="20"/>
      <c r="H43" s="19"/>
    </row>
    <row r="44" spans="1:8" x14ac:dyDescent="0.25">
      <c r="A44" s="19"/>
      <c r="B44" s="19"/>
      <c r="C44" s="19"/>
      <c r="D44" s="19"/>
      <c r="E44" s="19"/>
      <c r="F44" s="19"/>
      <c r="G44" s="20"/>
      <c r="H44" s="19"/>
    </row>
    <row r="45" spans="1:8" x14ac:dyDescent="0.25">
      <c r="A45" s="19"/>
      <c r="B45" s="19"/>
      <c r="C45" s="19"/>
      <c r="D45" s="19"/>
      <c r="E45" s="19"/>
      <c r="F45" s="19"/>
      <c r="G45" s="20"/>
      <c r="H45" s="19"/>
    </row>
    <row r="46" spans="1:8" x14ac:dyDescent="0.25">
      <c r="A46" s="19"/>
      <c r="B46" s="19"/>
      <c r="C46" s="19"/>
      <c r="D46" s="19"/>
      <c r="E46" s="19"/>
      <c r="F46" s="19"/>
      <c r="G46" s="20"/>
      <c r="H46" s="19"/>
    </row>
    <row r="47" spans="1:8" x14ac:dyDescent="0.25">
      <c r="A47" s="19"/>
      <c r="B47" s="19"/>
      <c r="C47" s="19"/>
      <c r="D47" s="19"/>
      <c r="E47" s="19"/>
      <c r="F47" s="19"/>
      <c r="G47" s="20"/>
      <c r="H47" s="19"/>
    </row>
    <row r="48" spans="1:8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19"/>
      <c r="B57" s="19"/>
      <c r="C57" s="19"/>
      <c r="D57" s="19"/>
      <c r="E57" s="19"/>
      <c r="F57" s="19"/>
      <c r="G57" s="20"/>
      <c r="H57" s="19"/>
    </row>
    <row r="58" spans="1:8" x14ac:dyDescent="0.25">
      <c r="A58" s="19"/>
      <c r="B58" s="19"/>
      <c r="C58" s="19"/>
      <c r="D58" s="19"/>
      <c r="E58" s="19"/>
      <c r="F58" s="19"/>
      <c r="G58" s="20"/>
      <c r="H58" s="19"/>
    </row>
    <row r="59" spans="1:8" x14ac:dyDescent="0.25">
      <c r="A59" s="19"/>
      <c r="B59" s="19"/>
      <c r="C59" s="19"/>
      <c r="D59" s="19"/>
      <c r="E59" s="19"/>
      <c r="F59" s="19"/>
      <c r="G59" s="20"/>
      <c r="H59" s="19"/>
    </row>
    <row r="60" spans="1:8" x14ac:dyDescent="0.25">
      <c r="A60" s="19"/>
      <c r="B60" s="19"/>
      <c r="C60" s="19"/>
      <c r="D60" s="19"/>
      <c r="E60" s="19"/>
      <c r="F60" s="19"/>
      <c r="G60" s="20"/>
      <c r="H60" s="19"/>
    </row>
    <row r="61" spans="1:8" x14ac:dyDescent="0.25">
      <c r="A61" s="19"/>
      <c r="B61" s="19"/>
      <c r="C61" s="19"/>
      <c r="D61" s="19"/>
      <c r="E61" s="19"/>
      <c r="F61" s="19"/>
      <c r="G61" s="20"/>
      <c r="H61" s="19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19"/>
      <c r="B177" s="19"/>
      <c r="C177" s="19"/>
      <c r="D177" s="19"/>
      <c r="E177" s="19"/>
      <c r="F177" s="19"/>
      <c r="G177" s="20"/>
      <c r="H177" s="19"/>
    </row>
    <row r="178" spans="1:8" ht="15" customHeight="1" x14ac:dyDescent="0.25">
      <c r="A178" s="19"/>
      <c r="B178" s="19"/>
      <c r="C178" s="19"/>
      <c r="D178" s="19"/>
      <c r="E178" s="19"/>
      <c r="F178" s="19"/>
      <c r="G178" s="20"/>
      <c r="H178" s="19"/>
    </row>
    <row r="179" spans="1:8" x14ac:dyDescent="0.25">
      <c r="A179" s="19"/>
      <c r="B179" s="19"/>
      <c r="C179" s="19"/>
      <c r="D179" s="19"/>
      <c r="E179" s="19"/>
      <c r="F179" s="19"/>
      <c r="G179" s="20"/>
      <c r="H179" s="19"/>
    </row>
    <row r="180" spans="1:8" x14ac:dyDescent="0.25">
      <c r="A180" s="19"/>
      <c r="B180" s="19"/>
      <c r="C180" s="19"/>
      <c r="D180" s="19"/>
      <c r="E180" s="19"/>
      <c r="F180" s="19"/>
      <c r="G180" s="20"/>
      <c r="H180" s="19"/>
    </row>
    <row r="181" spans="1:8" ht="15" customHeight="1" x14ac:dyDescent="0.25">
      <c r="A181" s="19"/>
      <c r="B181" s="19"/>
      <c r="C181" s="19"/>
      <c r="D181" s="19"/>
      <c r="E181" s="19"/>
      <c r="F181" s="19"/>
      <c r="G181" s="20"/>
      <c r="H181" s="19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56"/>
      <c r="B544" s="56"/>
      <c r="C544" s="56"/>
      <c r="D544" s="56"/>
      <c r="E544" s="56"/>
      <c r="F544" s="56"/>
      <c r="G544" s="56"/>
      <c r="H544" s="56"/>
    </row>
    <row r="545" spans="1:8" ht="15" customHeight="1" x14ac:dyDescent="0.25">
      <c r="A545" s="56"/>
      <c r="B545" s="56"/>
      <c r="C545" s="56"/>
      <c r="D545" s="56"/>
      <c r="E545" s="56"/>
      <c r="F545" s="18"/>
      <c r="G545" s="21"/>
    </row>
    <row r="546" spans="1:8" x14ac:dyDescent="0.25">
      <c r="A546" s="18"/>
    </row>
    <row r="547" spans="1:8" x14ac:dyDescent="0.25">
      <c r="A547" s="56"/>
      <c r="B547" s="56"/>
      <c r="C547" s="56"/>
      <c r="D547" s="56"/>
      <c r="E547" s="56"/>
      <c r="F547" s="56"/>
      <c r="G547" s="56"/>
      <c r="H547" s="56"/>
    </row>
    <row r="548" spans="1:8" ht="15" customHeight="1" x14ac:dyDescent="0.25">
      <c r="A548" s="56"/>
      <c r="B548" s="56"/>
      <c r="C548" s="56"/>
      <c r="D548" s="56"/>
      <c r="E548" s="56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19"/>
      <c r="B552" s="19"/>
      <c r="C552" s="19"/>
      <c r="D552" s="19"/>
      <c r="E552" s="19"/>
      <c r="F552" s="19"/>
      <c r="G552" s="20"/>
      <c r="H552" s="19"/>
    </row>
    <row r="553" spans="1:8" x14ac:dyDescent="0.25">
      <c r="A553" s="19"/>
      <c r="B553" s="19"/>
      <c r="C553" s="19"/>
      <c r="D553" s="19"/>
      <c r="E553" s="19"/>
      <c r="F553" s="19"/>
      <c r="G553" s="20"/>
      <c r="H553" s="19"/>
    </row>
    <row r="554" spans="1:8" x14ac:dyDescent="0.25">
      <c r="A554" s="19"/>
      <c r="B554" s="19"/>
      <c r="C554" s="19"/>
      <c r="D554" s="19"/>
      <c r="E554" s="19"/>
      <c r="F554" s="19"/>
      <c r="G554" s="20"/>
      <c r="H554" s="19"/>
    </row>
    <row r="555" spans="1:8" x14ac:dyDescent="0.25">
      <c r="A555" s="19"/>
      <c r="B555" s="19"/>
      <c r="C555" s="19"/>
      <c r="D555" s="19"/>
      <c r="E555" s="19"/>
      <c r="F555" s="19"/>
      <c r="G555" s="20"/>
      <c r="H555" s="19"/>
    </row>
    <row r="556" spans="1:8" x14ac:dyDescent="0.25">
      <c r="A556" s="19"/>
      <c r="B556" s="19"/>
      <c r="C556" s="19"/>
      <c r="D556" s="19"/>
      <c r="E556" s="19"/>
      <c r="F556" s="19"/>
      <c r="G556" s="20"/>
      <c r="H556" s="19"/>
    </row>
    <row r="557" spans="1:8" x14ac:dyDescent="0.25">
      <c r="A557" s="19"/>
      <c r="B557" s="19"/>
      <c r="C557" s="19"/>
      <c r="D557" s="19"/>
      <c r="E557" s="19"/>
      <c r="F557" s="19"/>
      <c r="G557" s="20"/>
      <c r="H557" s="19"/>
    </row>
    <row r="558" spans="1:8" x14ac:dyDescent="0.25">
      <c r="A558" s="19"/>
      <c r="B558" s="19"/>
      <c r="C558" s="19"/>
      <c r="D558" s="19"/>
      <c r="E558" s="19"/>
      <c r="F558" s="19"/>
      <c r="G558" s="20"/>
      <c r="H558" s="19"/>
    </row>
    <row r="559" spans="1:8" x14ac:dyDescent="0.25">
      <c r="A559" s="19"/>
      <c r="B559" s="19"/>
      <c r="C559" s="19"/>
      <c r="D559" s="19"/>
      <c r="E559" s="19"/>
      <c r="F559" s="19"/>
      <c r="G559" s="20"/>
      <c r="H559" s="19"/>
    </row>
    <row r="560" spans="1:8" x14ac:dyDescent="0.25">
      <c r="A560" s="19"/>
      <c r="B560" s="19"/>
      <c r="C560" s="19"/>
      <c r="D560" s="19"/>
      <c r="E560" s="19"/>
      <c r="F560" s="19"/>
      <c r="G560" s="20"/>
      <c r="H560" s="19"/>
    </row>
    <row r="561" spans="1:8" x14ac:dyDescent="0.25">
      <c r="A561" s="19"/>
      <c r="B561" s="19"/>
      <c r="C561" s="19"/>
      <c r="D561" s="19"/>
      <c r="E561" s="19"/>
      <c r="F561" s="19"/>
      <c r="G561" s="20"/>
      <c r="H561" s="19"/>
    </row>
    <row r="562" spans="1:8" x14ac:dyDescent="0.25">
      <c r="A562" s="19"/>
      <c r="B562" s="19"/>
      <c r="C562" s="19"/>
      <c r="D562" s="19"/>
      <c r="E562" s="19"/>
      <c r="F562" s="19"/>
      <c r="G562" s="20"/>
      <c r="H562" s="19"/>
    </row>
    <row r="563" spans="1:8" x14ac:dyDescent="0.25">
      <c r="A563" s="19"/>
      <c r="B563" s="19"/>
      <c r="C563" s="19"/>
      <c r="D563" s="19"/>
      <c r="E563" s="19"/>
      <c r="F563" s="19"/>
      <c r="G563" s="20"/>
      <c r="H563" s="19"/>
    </row>
    <row r="564" spans="1:8" x14ac:dyDescent="0.25">
      <c r="A564" s="19"/>
      <c r="B564" s="19"/>
      <c r="C564" s="19"/>
      <c r="D564" s="19"/>
      <c r="E564" s="19"/>
      <c r="F564" s="19"/>
      <c r="G564" s="20"/>
      <c r="H564" s="19"/>
    </row>
    <row r="565" spans="1:8" x14ac:dyDescent="0.25">
      <c r="A565" s="19"/>
      <c r="B565" s="19"/>
      <c r="C565" s="19"/>
      <c r="D565" s="19"/>
      <c r="E565" s="19"/>
      <c r="F565" s="19"/>
      <c r="G565" s="20"/>
      <c r="H565" s="19"/>
    </row>
    <row r="566" spans="1:8" x14ac:dyDescent="0.25">
      <c r="A566" s="19"/>
      <c r="B566" s="19"/>
      <c r="C566" s="19"/>
      <c r="D566" s="19"/>
      <c r="E566" s="19"/>
      <c r="F566" s="19"/>
      <c r="G566" s="20"/>
      <c r="H566" s="19"/>
    </row>
    <row r="567" spans="1:8" x14ac:dyDescent="0.25">
      <c r="A567" s="19"/>
      <c r="B567" s="19"/>
      <c r="C567" s="19"/>
      <c r="D567" s="19"/>
      <c r="E567" s="19"/>
      <c r="F567" s="19"/>
      <c r="G567" s="20"/>
      <c r="H567" s="19"/>
    </row>
    <row r="568" spans="1:8" x14ac:dyDescent="0.25">
      <c r="A568" s="19"/>
      <c r="B568" s="19"/>
      <c r="C568" s="19"/>
      <c r="D568" s="19"/>
      <c r="E568" s="19"/>
      <c r="F568" s="19"/>
      <c r="G568" s="20"/>
      <c r="H568" s="19"/>
    </row>
    <row r="569" spans="1:8" x14ac:dyDescent="0.25">
      <c r="A569" s="19"/>
      <c r="B569" s="19"/>
      <c r="C569" s="19"/>
      <c r="D569" s="19"/>
      <c r="E569" s="19"/>
      <c r="F569" s="19"/>
      <c r="G569" s="20"/>
      <c r="H569" s="19"/>
    </row>
    <row r="570" spans="1:8" x14ac:dyDescent="0.25">
      <c r="A570" s="19"/>
      <c r="B570" s="19"/>
      <c r="C570" s="19"/>
      <c r="D570" s="19"/>
      <c r="E570" s="19"/>
      <c r="F570" s="19"/>
      <c r="G570" s="20"/>
      <c r="H570" s="19"/>
    </row>
    <row r="571" spans="1:8" x14ac:dyDescent="0.25">
      <c r="A571" s="19"/>
      <c r="B571" s="19"/>
      <c r="C571" s="19"/>
      <c r="D571" s="19"/>
      <c r="E571" s="19"/>
      <c r="F571" s="19"/>
      <c r="G571" s="20"/>
      <c r="H571" s="19"/>
    </row>
    <row r="572" spans="1:8" x14ac:dyDescent="0.25">
      <c r="A572" s="19"/>
      <c r="B572" s="19"/>
      <c r="C572" s="19"/>
      <c r="D572" s="19"/>
      <c r="E572" s="19"/>
      <c r="F572" s="19"/>
      <c r="G572" s="20"/>
      <c r="H572" s="19"/>
    </row>
    <row r="573" spans="1:8" x14ac:dyDescent="0.25">
      <c r="A573" s="19"/>
      <c r="B573" s="19"/>
      <c r="C573" s="19"/>
      <c r="D573" s="19"/>
      <c r="E573" s="19"/>
      <c r="F573" s="19"/>
      <c r="G573" s="20"/>
      <c r="H573" s="19"/>
    </row>
    <row r="574" spans="1:8" x14ac:dyDescent="0.25">
      <c r="A574" s="19"/>
      <c r="B574" s="19"/>
      <c r="C574" s="19"/>
      <c r="D574" s="19"/>
      <c r="E574" s="19"/>
      <c r="F574" s="19"/>
      <c r="G574" s="20"/>
      <c r="H574" s="19"/>
    </row>
    <row r="575" spans="1:8" x14ac:dyDescent="0.25">
      <c r="A575" s="19"/>
      <c r="B575" s="19"/>
      <c r="C575" s="19"/>
      <c r="D575" s="19"/>
      <c r="E575" s="19"/>
      <c r="F575" s="19"/>
      <c r="G575" s="20"/>
      <c r="H575" s="19"/>
    </row>
    <row r="576" spans="1:8" x14ac:dyDescent="0.25">
      <c r="A576" s="19"/>
      <c r="B576" s="19"/>
      <c r="C576" s="19"/>
      <c r="D576" s="19"/>
      <c r="E576" s="19"/>
      <c r="F576" s="19"/>
      <c r="G576" s="20"/>
      <c r="H576" s="19"/>
    </row>
    <row r="577" spans="1:8" x14ac:dyDescent="0.25">
      <c r="A577" s="19"/>
      <c r="B577" s="19"/>
      <c r="C577" s="19"/>
      <c r="D577" s="19"/>
      <c r="E577" s="19"/>
      <c r="F577" s="19"/>
      <c r="G577" s="20"/>
      <c r="H577" s="19"/>
    </row>
    <row r="578" spans="1:8" x14ac:dyDescent="0.25">
      <c r="A578" s="19"/>
      <c r="B578" s="19"/>
      <c r="C578" s="19"/>
      <c r="D578" s="19"/>
      <c r="E578" s="19"/>
      <c r="F578" s="19"/>
      <c r="G578" s="20"/>
      <c r="H578" s="19"/>
    </row>
    <row r="579" spans="1:8" x14ac:dyDescent="0.25">
      <c r="A579" s="19"/>
      <c r="B579" s="19"/>
      <c r="C579" s="19"/>
      <c r="D579" s="19"/>
      <c r="E579" s="19"/>
      <c r="F579" s="19"/>
      <c r="G579" s="20"/>
      <c r="H579" s="19"/>
    </row>
    <row r="580" spans="1:8" x14ac:dyDescent="0.25">
      <c r="A580" s="19"/>
      <c r="B580" s="19"/>
      <c r="C580" s="19"/>
      <c r="D580" s="19"/>
      <c r="E580" s="19"/>
      <c r="F580" s="19"/>
      <c r="G580" s="20"/>
      <c r="H580" s="19"/>
    </row>
    <row r="581" spans="1:8" x14ac:dyDescent="0.25">
      <c r="A581" s="19"/>
      <c r="B581" s="19"/>
      <c r="C581" s="19"/>
      <c r="D581" s="19"/>
      <c r="E581" s="19"/>
      <c r="F581" s="19"/>
      <c r="G581" s="20"/>
      <c r="H581" s="19"/>
    </row>
    <row r="582" spans="1:8" x14ac:dyDescent="0.25">
      <c r="A582" s="19"/>
      <c r="B582" s="19"/>
      <c r="C582" s="19"/>
      <c r="D582" s="19"/>
      <c r="E582" s="19"/>
      <c r="F582" s="19"/>
      <c r="G582" s="20"/>
      <c r="H582" s="19"/>
    </row>
    <row r="583" spans="1:8" x14ac:dyDescent="0.25">
      <c r="A583" s="19"/>
      <c r="B583" s="19"/>
      <c r="C583" s="19"/>
      <c r="D583" s="19"/>
      <c r="E583" s="19"/>
      <c r="F583" s="19"/>
      <c r="G583" s="20"/>
      <c r="H583" s="19"/>
    </row>
    <row r="584" spans="1:8" x14ac:dyDescent="0.25">
      <c r="A584" s="19"/>
      <c r="B584" s="19"/>
      <c r="C584" s="19"/>
      <c r="D584" s="19"/>
      <c r="E584" s="19"/>
      <c r="F584" s="19"/>
      <c r="G584" s="20"/>
      <c r="H584" s="19"/>
    </row>
    <row r="585" spans="1:8" x14ac:dyDescent="0.25">
      <c r="A585" s="19"/>
      <c r="B585" s="19"/>
      <c r="C585" s="19"/>
      <c r="D585" s="19"/>
      <c r="E585" s="19"/>
      <c r="F585" s="19"/>
      <c r="G585" s="20"/>
      <c r="H585" s="19"/>
    </row>
    <row r="586" spans="1:8" x14ac:dyDescent="0.25">
      <c r="A586" s="19"/>
      <c r="B586" s="19"/>
      <c r="C586" s="19"/>
      <c r="D586" s="19"/>
      <c r="E586" s="19"/>
      <c r="F586" s="19"/>
      <c r="G586" s="20"/>
      <c r="H586" s="19"/>
    </row>
    <row r="587" spans="1:8" x14ac:dyDescent="0.25">
      <c r="A587" s="19"/>
      <c r="B587" s="19"/>
      <c r="C587" s="19"/>
      <c r="D587" s="19"/>
      <c r="E587" s="19"/>
      <c r="F587" s="19"/>
      <c r="G587" s="20"/>
      <c r="H587" s="19"/>
    </row>
    <row r="588" spans="1:8" x14ac:dyDescent="0.25">
      <c r="A588" s="19"/>
      <c r="B588" s="19"/>
      <c r="C588" s="19"/>
      <c r="D588" s="19"/>
      <c r="E588" s="19"/>
      <c r="F588" s="19"/>
      <c r="G588" s="20"/>
      <c r="H588" s="19"/>
    </row>
    <row r="589" spans="1:8" x14ac:dyDescent="0.25">
      <c r="A589" s="19"/>
      <c r="B589" s="19"/>
      <c r="C589" s="19"/>
      <c r="D589" s="19"/>
      <c r="E589" s="19"/>
      <c r="F589" s="19"/>
      <c r="G589" s="20"/>
      <c r="H589" s="19"/>
    </row>
    <row r="590" spans="1:8" x14ac:dyDescent="0.25">
      <c r="A590" s="19"/>
      <c r="B590" s="19"/>
      <c r="C590" s="19"/>
      <c r="D590" s="19"/>
      <c r="E590" s="19"/>
      <c r="F590" s="19"/>
      <c r="G590" s="20"/>
      <c r="H590" s="19"/>
    </row>
    <row r="591" spans="1:8" x14ac:dyDescent="0.25">
      <c r="A591" s="19"/>
      <c r="B591" s="19"/>
      <c r="C591" s="19"/>
      <c r="D591" s="19"/>
      <c r="E591" s="19"/>
      <c r="F591" s="19"/>
      <c r="G591" s="20"/>
      <c r="H591" s="19"/>
    </row>
    <row r="592" spans="1:8" x14ac:dyDescent="0.25">
      <c r="A592" s="19"/>
      <c r="B592" s="19"/>
      <c r="C592" s="19"/>
      <c r="D592" s="19"/>
      <c r="E592" s="19"/>
      <c r="F592" s="19"/>
      <c r="G592" s="20"/>
      <c r="H592" s="19"/>
    </row>
    <row r="593" spans="1:8" x14ac:dyDescent="0.25">
      <c r="A593" s="19"/>
      <c r="B593" s="19"/>
      <c r="C593" s="19"/>
      <c r="D593" s="19"/>
      <c r="E593" s="19"/>
      <c r="F593" s="19"/>
      <c r="G593" s="20"/>
      <c r="H593" s="19"/>
    </row>
    <row r="594" spans="1:8" x14ac:dyDescent="0.25">
      <c r="A594" s="19"/>
      <c r="B594" s="19"/>
      <c r="C594" s="19"/>
      <c r="D594" s="19"/>
      <c r="E594" s="19"/>
      <c r="F594" s="19"/>
      <c r="G594" s="20"/>
      <c r="H594" s="19"/>
    </row>
    <row r="595" spans="1:8" x14ac:dyDescent="0.25">
      <c r="A595" s="19"/>
      <c r="B595" s="19"/>
      <c r="C595" s="19"/>
      <c r="D595" s="19"/>
      <c r="E595" s="19"/>
      <c r="F595" s="19"/>
      <c r="G595" s="20"/>
      <c r="H595" s="19"/>
    </row>
    <row r="596" spans="1:8" x14ac:dyDescent="0.25">
      <c r="A596" s="19"/>
      <c r="B596" s="19"/>
      <c r="C596" s="19"/>
      <c r="D596" s="19"/>
      <c r="E596" s="19"/>
      <c r="F596" s="19"/>
      <c r="G596" s="20"/>
      <c r="H596" s="19"/>
    </row>
    <row r="597" spans="1:8" x14ac:dyDescent="0.25">
      <c r="A597" s="19"/>
      <c r="B597" s="19"/>
      <c r="C597" s="19"/>
      <c r="D597" s="19"/>
      <c r="E597" s="19"/>
      <c r="F597" s="19"/>
      <c r="G597" s="20"/>
      <c r="H597" s="19"/>
    </row>
    <row r="598" spans="1:8" x14ac:dyDescent="0.25">
      <c r="A598" s="19"/>
      <c r="B598" s="19"/>
      <c r="C598" s="19"/>
      <c r="D598" s="19"/>
      <c r="E598" s="19"/>
      <c r="F598" s="19"/>
      <c r="G598" s="20"/>
      <c r="H598" s="19"/>
    </row>
    <row r="599" spans="1:8" x14ac:dyDescent="0.25">
      <c r="A599" s="19"/>
      <c r="B599" s="19"/>
      <c r="C599" s="19"/>
      <c r="D599" s="19"/>
      <c r="E599" s="19"/>
      <c r="F599" s="19"/>
      <c r="G599" s="20"/>
      <c r="H599" s="19"/>
    </row>
    <row r="600" spans="1:8" x14ac:dyDescent="0.25">
      <c r="A600" s="19"/>
      <c r="B600" s="19"/>
      <c r="C600" s="19"/>
      <c r="D600" s="19"/>
      <c r="E600" s="19"/>
      <c r="F600" s="19"/>
      <c r="G600" s="20"/>
      <c r="H600" s="19"/>
    </row>
    <row r="601" spans="1:8" x14ac:dyDescent="0.25">
      <c r="A601" s="19"/>
      <c r="B601" s="19"/>
      <c r="C601" s="19"/>
      <c r="D601" s="19"/>
      <c r="E601" s="19"/>
      <c r="F601" s="19"/>
      <c r="G601" s="20"/>
      <c r="H601" s="19"/>
    </row>
    <row r="602" spans="1:8" x14ac:dyDescent="0.25">
      <c r="A602" s="19"/>
      <c r="B602" s="19"/>
      <c r="C602" s="19"/>
      <c r="D602" s="19"/>
      <c r="E602" s="19"/>
      <c r="F602" s="19"/>
      <c r="G602" s="20"/>
      <c r="H602" s="19"/>
    </row>
    <row r="603" spans="1:8" x14ac:dyDescent="0.25">
      <c r="A603" s="19"/>
      <c r="B603" s="19"/>
      <c r="C603" s="19"/>
      <c r="D603" s="19"/>
      <c r="E603" s="19"/>
      <c r="F603" s="19"/>
      <c r="G603" s="20"/>
      <c r="H603" s="19"/>
    </row>
    <row r="604" spans="1:8" x14ac:dyDescent="0.25">
      <c r="A604" s="19"/>
      <c r="B604" s="19"/>
      <c r="C604" s="19"/>
      <c r="D604" s="19"/>
      <c r="E604" s="19"/>
      <c r="F604" s="19"/>
      <c r="G604" s="20"/>
      <c r="H604" s="19"/>
    </row>
    <row r="605" spans="1:8" x14ac:dyDescent="0.25">
      <c r="A605" s="19"/>
      <c r="B605" s="19"/>
      <c r="C605" s="19"/>
      <c r="D605" s="19"/>
      <c r="E605" s="19"/>
      <c r="F605" s="19"/>
      <c r="G605" s="20"/>
      <c r="H605" s="19"/>
    </row>
    <row r="606" spans="1:8" x14ac:dyDescent="0.25">
      <c r="A606" s="19"/>
      <c r="B606" s="19"/>
      <c r="C606" s="19"/>
      <c r="D606" s="19"/>
      <c r="E606" s="19"/>
      <c r="F606" s="19"/>
      <c r="G606" s="20"/>
      <c r="H606" s="19"/>
    </row>
    <row r="607" spans="1:8" x14ac:dyDescent="0.25">
      <c r="A607" s="19"/>
      <c r="B607" s="19"/>
      <c r="C607" s="19"/>
      <c r="D607" s="19"/>
      <c r="E607" s="19"/>
      <c r="F607" s="19"/>
      <c r="G607" s="20"/>
      <c r="H607" s="19"/>
    </row>
    <row r="608" spans="1:8" x14ac:dyDescent="0.25">
      <c r="A608" s="19"/>
      <c r="B608" s="19"/>
      <c r="C608" s="19"/>
      <c r="D608" s="19"/>
      <c r="E608" s="19"/>
      <c r="F608" s="19"/>
      <c r="G608" s="20"/>
      <c r="H608" s="19"/>
    </row>
    <row r="609" spans="1:8" x14ac:dyDescent="0.25">
      <c r="A609" s="19"/>
      <c r="B609" s="19"/>
      <c r="C609" s="19"/>
      <c r="D609" s="19"/>
      <c r="E609" s="19"/>
      <c r="F609" s="19"/>
      <c r="G609" s="20"/>
      <c r="H609" s="19"/>
    </row>
    <row r="610" spans="1:8" x14ac:dyDescent="0.25">
      <c r="A610" s="19"/>
      <c r="B610" s="19"/>
      <c r="C610" s="19"/>
      <c r="D610" s="19"/>
      <c r="E610" s="19"/>
      <c r="F610" s="19"/>
      <c r="G610" s="20"/>
      <c r="H610" s="19"/>
    </row>
    <row r="611" spans="1:8" x14ac:dyDescent="0.25">
      <c r="A611" s="19"/>
      <c r="B611" s="19"/>
      <c r="C611" s="19"/>
      <c r="D611" s="19"/>
      <c r="E611" s="19"/>
      <c r="F611" s="19"/>
      <c r="G611" s="20"/>
      <c r="H611" s="19"/>
    </row>
    <row r="612" spans="1:8" x14ac:dyDescent="0.25">
      <c r="A612" s="19"/>
      <c r="B612" s="19"/>
      <c r="C612" s="19"/>
      <c r="D612" s="19"/>
      <c r="E612" s="19"/>
      <c r="F612" s="19"/>
      <c r="G612" s="20"/>
      <c r="H612" s="19"/>
    </row>
    <row r="613" spans="1:8" x14ac:dyDescent="0.25">
      <c r="A613" s="19"/>
      <c r="B613" s="19"/>
      <c r="C613" s="19"/>
      <c r="D613" s="19"/>
      <c r="E613" s="19"/>
      <c r="F613" s="19"/>
      <c r="G613" s="20"/>
      <c r="H613" s="19"/>
    </row>
    <row r="614" spans="1:8" x14ac:dyDescent="0.25">
      <c r="A614" s="19"/>
      <c r="B614" s="19"/>
      <c r="C614" s="19"/>
      <c r="D614" s="19"/>
      <c r="E614" s="19"/>
      <c r="F614" s="19"/>
      <c r="G614" s="20"/>
      <c r="H614" s="19"/>
    </row>
    <row r="615" spans="1:8" x14ac:dyDescent="0.25">
      <c r="A615" s="19"/>
      <c r="B615" s="19"/>
      <c r="C615" s="19"/>
      <c r="D615" s="19"/>
      <c r="E615" s="19"/>
      <c r="F615" s="19"/>
      <c r="G615" s="20"/>
      <c r="H615" s="19"/>
    </row>
    <row r="616" spans="1:8" x14ac:dyDescent="0.25">
      <c r="A616" s="19"/>
      <c r="B616" s="19"/>
      <c r="C616" s="19"/>
      <c r="D616" s="19"/>
      <c r="E616" s="19"/>
      <c r="F616" s="19"/>
      <c r="G616" s="20"/>
      <c r="H616" s="19"/>
    </row>
    <row r="617" spans="1:8" x14ac:dyDescent="0.25">
      <c r="A617" s="19"/>
      <c r="B617" s="19"/>
      <c r="C617" s="19"/>
      <c r="D617" s="19"/>
      <c r="E617" s="19"/>
      <c r="F617" s="19"/>
      <c r="G617" s="20"/>
      <c r="H617" s="19"/>
    </row>
    <row r="618" spans="1:8" x14ac:dyDescent="0.25">
      <c r="A618" s="19"/>
      <c r="B618" s="19"/>
      <c r="C618" s="19"/>
      <c r="D618" s="19"/>
      <c r="E618" s="19"/>
      <c r="F618" s="19"/>
      <c r="G618" s="20"/>
      <c r="H618" s="19"/>
    </row>
    <row r="619" spans="1:8" x14ac:dyDescent="0.25">
      <c r="A619" s="19"/>
      <c r="B619" s="19"/>
      <c r="C619" s="19"/>
      <c r="D619" s="19"/>
      <c r="E619" s="19"/>
      <c r="F619" s="19"/>
      <c r="G619" s="20"/>
      <c r="H619" s="19"/>
    </row>
    <row r="620" spans="1:8" x14ac:dyDescent="0.25">
      <c r="A620" s="19"/>
      <c r="B620" s="19"/>
      <c r="C620" s="19"/>
      <c r="D620" s="19"/>
      <c r="E620" s="19"/>
      <c r="F620" s="19"/>
      <c r="G620" s="20"/>
      <c r="H620" s="19"/>
    </row>
    <row r="621" spans="1:8" x14ac:dyDescent="0.25">
      <c r="A621" s="19"/>
      <c r="B621" s="19"/>
      <c r="C621" s="19"/>
      <c r="D621" s="19"/>
      <c r="E621" s="19"/>
      <c r="F621" s="19"/>
      <c r="G621" s="20"/>
      <c r="H621" s="19"/>
    </row>
    <row r="622" spans="1:8" x14ac:dyDescent="0.25">
      <c r="A622" s="19"/>
      <c r="B622" s="19"/>
      <c r="C622" s="19"/>
      <c r="D622" s="19"/>
      <c r="E622" s="19"/>
      <c r="F622" s="19"/>
      <c r="G622" s="20"/>
      <c r="H622" s="19"/>
    </row>
    <row r="623" spans="1:8" x14ac:dyDescent="0.25">
      <c r="A623" s="19"/>
      <c r="B623" s="19"/>
      <c r="C623" s="19"/>
      <c r="D623" s="19"/>
      <c r="E623" s="19"/>
      <c r="F623" s="19"/>
      <c r="G623" s="20"/>
      <c r="H623" s="19"/>
    </row>
    <row r="624" spans="1:8" x14ac:dyDescent="0.25">
      <c r="A624" s="19"/>
      <c r="B624" s="19"/>
      <c r="C624" s="19"/>
      <c r="D624" s="19"/>
      <c r="E624" s="19"/>
      <c r="F624" s="19"/>
      <c r="G624" s="20"/>
      <c r="H624" s="19"/>
    </row>
    <row r="625" spans="1:8" x14ac:dyDescent="0.25">
      <c r="A625" s="19"/>
      <c r="B625" s="19"/>
      <c r="C625" s="19"/>
      <c r="D625" s="19"/>
      <c r="E625" s="19"/>
      <c r="F625" s="19"/>
      <c r="G625" s="20"/>
      <c r="H625" s="19"/>
    </row>
    <row r="626" spans="1:8" x14ac:dyDescent="0.25">
      <c r="A626" s="19"/>
      <c r="B626" s="19"/>
      <c r="C626" s="19"/>
      <c r="D626" s="19"/>
      <c r="E626" s="19"/>
      <c r="F626" s="19"/>
      <c r="G626" s="20"/>
      <c r="H626" s="19"/>
    </row>
    <row r="627" spans="1:8" x14ac:dyDescent="0.25">
      <c r="A627" s="19"/>
      <c r="B627" s="19"/>
      <c r="C627" s="19"/>
      <c r="D627" s="19"/>
      <c r="E627" s="19"/>
      <c r="F627" s="19"/>
      <c r="G627" s="20"/>
      <c r="H627" s="19"/>
    </row>
    <row r="628" spans="1:8" x14ac:dyDescent="0.25">
      <c r="A628" s="19"/>
      <c r="B628" s="19"/>
      <c r="C628" s="19"/>
      <c r="D628" s="19"/>
      <c r="E628" s="19"/>
      <c r="F628" s="19"/>
      <c r="G628" s="20"/>
      <c r="H628" s="19"/>
    </row>
    <row r="629" spans="1:8" x14ac:dyDescent="0.25">
      <c r="A629" s="19"/>
      <c r="B629" s="19"/>
      <c r="C629" s="19"/>
      <c r="D629" s="19"/>
      <c r="E629" s="19"/>
      <c r="F629" s="19"/>
      <c r="G629" s="20"/>
      <c r="H629" s="19"/>
    </row>
    <row r="630" spans="1:8" x14ac:dyDescent="0.25">
      <c r="A630" s="19"/>
      <c r="B630" s="19"/>
      <c r="C630" s="19"/>
      <c r="D630" s="19"/>
      <c r="E630" s="19"/>
      <c r="F630" s="19"/>
      <c r="G630" s="20"/>
      <c r="H630" s="19"/>
    </row>
    <row r="631" spans="1:8" x14ac:dyDescent="0.25">
      <c r="A631" s="19"/>
      <c r="B631" s="19"/>
      <c r="C631" s="19"/>
      <c r="D631" s="19"/>
      <c r="E631" s="19"/>
      <c r="F631" s="19"/>
      <c r="G631" s="20"/>
      <c r="H631" s="19"/>
    </row>
    <row r="632" spans="1:8" x14ac:dyDescent="0.25">
      <c r="A632" s="19"/>
      <c r="B632" s="19"/>
      <c r="C632" s="19"/>
      <c r="D632" s="19"/>
      <c r="E632" s="19"/>
      <c r="F632" s="19"/>
      <c r="G632" s="20"/>
      <c r="H632" s="19"/>
    </row>
    <row r="633" spans="1:8" x14ac:dyDescent="0.25">
      <c r="A633" s="19"/>
      <c r="B633" s="19"/>
      <c r="C633" s="19"/>
      <c r="D633" s="19"/>
      <c r="E633" s="19"/>
      <c r="F633" s="19"/>
      <c r="G633" s="20"/>
      <c r="H633" s="19"/>
    </row>
    <row r="634" spans="1:8" x14ac:dyDescent="0.25">
      <c r="A634" s="19"/>
      <c r="B634" s="19"/>
      <c r="C634" s="19"/>
      <c r="D634" s="19"/>
      <c r="E634" s="19"/>
      <c r="F634" s="19"/>
      <c r="G634" s="20"/>
      <c r="H634" s="19"/>
    </row>
    <row r="635" spans="1:8" x14ac:dyDescent="0.25">
      <c r="A635" s="19"/>
      <c r="B635" s="19"/>
      <c r="C635" s="19"/>
      <c r="D635" s="19"/>
      <c r="E635" s="19"/>
      <c r="F635" s="19"/>
      <c r="G635" s="20"/>
      <c r="H635" s="19"/>
    </row>
    <row r="636" spans="1:8" x14ac:dyDescent="0.25">
      <c r="A636" s="19"/>
      <c r="B636" s="19"/>
      <c r="C636" s="19"/>
      <c r="D636" s="19"/>
      <c r="E636" s="19"/>
      <c r="F636" s="19"/>
      <c r="G636" s="20"/>
      <c r="H636" s="19"/>
    </row>
    <row r="637" spans="1:8" x14ac:dyDescent="0.25">
      <c r="A637" s="19"/>
      <c r="B637" s="19"/>
      <c r="C637" s="19"/>
      <c r="D637" s="19"/>
      <c r="E637" s="19"/>
      <c r="F637" s="19"/>
      <c r="G637" s="20"/>
      <c r="H637" s="19"/>
    </row>
    <row r="638" spans="1:8" x14ac:dyDescent="0.25">
      <c r="A638" s="19"/>
      <c r="B638" s="19"/>
      <c r="C638" s="19"/>
      <c r="D638" s="19"/>
      <c r="E638" s="19"/>
      <c r="F638" s="19"/>
      <c r="G638" s="20"/>
      <c r="H638" s="19"/>
    </row>
    <row r="639" spans="1:8" x14ac:dyDescent="0.25">
      <c r="A639" s="19"/>
      <c r="B639" s="19"/>
      <c r="C639" s="19"/>
      <c r="D639" s="19"/>
      <c r="E639" s="19"/>
      <c r="F639" s="19"/>
      <c r="G639" s="20"/>
      <c r="H639" s="19"/>
    </row>
    <row r="640" spans="1:8" x14ac:dyDescent="0.25">
      <c r="A640" s="19"/>
      <c r="B640" s="19"/>
      <c r="C640" s="19"/>
      <c r="D640" s="19"/>
      <c r="E640" s="19"/>
      <c r="F640" s="19"/>
      <c r="G640" s="20"/>
      <c r="H640" s="19"/>
    </row>
    <row r="641" spans="1:8" x14ac:dyDescent="0.25">
      <c r="A641" s="19"/>
      <c r="B641" s="19"/>
      <c r="C641" s="19"/>
      <c r="D641" s="19"/>
      <c r="E641" s="19"/>
      <c r="F641" s="19"/>
      <c r="G641" s="20"/>
      <c r="H641" s="19"/>
    </row>
    <row r="642" spans="1:8" x14ac:dyDescent="0.25">
      <c r="A642" s="19"/>
      <c r="B642" s="19"/>
      <c r="C642" s="19"/>
      <c r="D642" s="19"/>
      <c r="E642" s="19"/>
      <c r="F642" s="19"/>
      <c r="G642" s="20"/>
      <c r="H642" s="19"/>
    </row>
    <row r="643" spans="1:8" x14ac:dyDescent="0.25">
      <c r="A643" s="19"/>
      <c r="B643" s="19"/>
      <c r="C643" s="19"/>
      <c r="D643" s="19"/>
      <c r="E643" s="19"/>
      <c r="F643" s="19"/>
      <c r="G643" s="20"/>
      <c r="H643" s="19"/>
    </row>
    <row r="644" spans="1:8" x14ac:dyDescent="0.25">
      <c r="A644" s="19"/>
      <c r="B644" s="19"/>
      <c r="C644" s="19"/>
      <c r="D644" s="19"/>
      <c r="E644" s="19"/>
      <c r="F644" s="19"/>
      <c r="G644" s="20"/>
      <c r="H644" s="19"/>
    </row>
    <row r="645" spans="1:8" x14ac:dyDescent="0.25">
      <c r="A645" s="19"/>
      <c r="B645" s="19"/>
      <c r="C645" s="19"/>
      <c r="D645" s="19"/>
      <c r="E645" s="19"/>
      <c r="F645" s="19"/>
      <c r="G645" s="20"/>
      <c r="H645" s="19"/>
    </row>
    <row r="646" spans="1:8" x14ac:dyDescent="0.25">
      <c r="A646" s="19"/>
      <c r="B646" s="19"/>
      <c r="C646" s="19"/>
      <c r="D646" s="19"/>
      <c r="E646" s="19"/>
      <c r="F646" s="19"/>
      <c r="G646" s="20"/>
      <c r="H646" s="19"/>
    </row>
    <row r="647" spans="1:8" x14ac:dyDescent="0.25">
      <c r="A647" s="19"/>
      <c r="B647" s="19"/>
      <c r="C647" s="19"/>
      <c r="D647" s="19"/>
      <c r="E647" s="19"/>
      <c r="F647" s="19"/>
      <c r="G647" s="20"/>
      <c r="H647" s="19"/>
    </row>
    <row r="648" spans="1:8" x14ac:dyDescent="0.25">
      <c r="A648" s="19"/>
      <c r="B648" s="19"/>
      <c r="C648" s="19"/>
      <c r="D648" s="19"/>
      <c r="E648" s="19"/>
      <c r="F648" s="19"/>
      <c r="G648" s="20"/>
      <c r="H648" s="19"/>
    </row>
    <row r="649" spans="1:8" x14ac:dyDescent="0.25">
      <c r="A649" s="19"/>
      <c r="B649" s="19"/>
      <c r="C649" s="19"/>
      <c r="D649" s="19"/>
      <c r="E649" s="19"/>
      <c r="F649" s="19"/>
      <c r="G649" s="20"/>
      <c r="H649" s="19"/>
    </row>
    <row r="650" spans="1:8" x14ac:dyDescent="0.25">
      <c r="A650" s="19"/>
      <c r="B650" s="19"/>
      <c r="C650" s="19"/>
      <c r="D650" s="19"/>
      <c r="E650" s="19"/>
      <c r="F650" s="19"/>
      <c r="G650" s="20"/>
      <c r="H650" s="19"/>
    </row>
    <row r="651" spans="1:8" x14ac:dyDescent="0.25">
      <c r="A651" s="19"/>
      <c r="B651" s="19"/>
      <c r="C651" s="19"/>
      <c r="D651" s="19"/>
      <c r="E651" s="19"/>
      <c r="F651" s="19"/>
      <c r="G651" s="20"/>
      <c r="H651" s="19"/>
    </row>
    <row r="652" spans="1:8" x14ac:dyDescent="0.25">
      <c r="A652" s="19"/>
      <c r="B652" s="19"/>
      <c r="C652" s="19"/>
      <c r="D652" s="19"/>
      <c r="E652" s="19"/>
      <c r="F652" s="19"/>
      <c r="G652" s="20"/>
      <c r="H652" s="19"/>
    </row>
    <row r="653" spans="1:8" x14ac:dyDescent="0.25">
      <c r="A653" s="19"/>
      <c r="B653" s="19"/>
      <c r="C653" s="19"/>
      <c r="D653" s="19"/>
      <c r="E653" s="19"/>
      <c r="F653" s="19"/>
      <c r="G653" s="20"/>
      <c r="H653" s="19"/>
    </row>
    <row r="654" spans="1:8" x14ac:dyDescent="0.25">
      <c r="A654" s="19"/>
      <c r="B654" s="19"/>
      <c r="C654" s="19"/>
      <c r="D654" s="19"/>
      <c r="E654" s="19"/>
      <c r="F654" s="19"/>
      <c r="G654" s="20"/>
      <c r="H654" s="19"/>
    </row>
    <row r="655" spans="1:8" x14ac:dyDescent="0.25">
      <c r="A655" s="19"/>
      <c r="B655" s="19"/>
      <c r="C655" s="19"/>
      <c r="D655" s="19"/>
      <c r="E655" s="19"/>
      <c r="F655" s="19"/>
      <c r="G655" s="20"/>
      <c r="H655" s="19"/>
    </row>
    <row r="656" spans="1:8" x14ac:dyDescent="0.25">
      <c r="A656" s="19"/>
      <c r="B656" s="19"/>
      <c r="C656" s="19"/>
      <c r="D656" s="19"/>
      <c r="E656" s="19"/>
      <c r="F656" s="19"/>
      <c r="G656" s="20"/>
      <c r="H656" s="19"/>
    </row>
    <row r="657" spans="1:8" x14ac:dyDescent="0.25">
      <c r="A657" s="19"/>
      <c r="B657" s="19"/>
      <c r="C657" s="19"/>
      <c r="D657" s="19"/>
      <c r="E657" s="19"/>
      <c r="F657" s="19"/>
      <c r="G657" s="20"/>
      <c r="H657" s="19"/>
    </row>
    <row r="658" spans="1:8" x14ac:dyDescent="0.25">
      <c r="A658" s="19"/>
      <c r="B658" s="19"/>
      <c r="C658" s="19"/>
      <c r="D658" s="19"/>
      <c r="E658" s="19"/>
      <c r="F658" s="19"/>
      <c r="G658" s="20"/>
      <c r="H658" s="19"/>
    </row>
    <row r="659" spans="1:8" x14ac:dyDescent="0.25">
      <c r="A659" s="19"/>
      <c r="B659" s="19"/>
      <c r="C659" s="19"/>
      <c r="D659" s="19"/>
      <c r="E659" s="19"/>
      <c r="F659" s="19"/>
      <c r="G659" s="20"/>
      <c r="H659" s="19"/>
    </row>
    <row r="660" spans="1:8" x14ac:dyDescent="0.25">
      <c r="A660" s="19"/>
      <c r="B660" s="19"/>
      <c r="C660" s="19"/>
      <c r="D660" s="19"/>
      <c r="E660" s="19"/>
      <c r="F660" s="19"/>
      <c r="G660" s="20"/>
      <c r="H660" s="19"/>
    </row>
    <row r="661" spans="1:8" x14ac:dyDescent="0.25">
      <c r="A661" s="19"/>
      <c r="B661" s="19"/>
      <c r="C661" s="19"/>
      <c r="D661" s="19"/>
      <c r="E661" s="19"/>
      <c r="F661" s="19"/>
      <c r="G661" s="20"/>
      <c r="H661" s="19"/>
    </row>
    <row r="662" spans="1:8" x14ac:dyDescent="0.25">
      <c r="A662" s="19"/>
      <c r="B662" s="19"/>
      <c r="C662" s="19"/>
      <c r="D662" s="19"/>
      <c r="E662" s="19"/>
      <c r="F662" s="19"/>
      <c r="G662" s="20"/>
      <c r="H662" s="19"/>
    </row>
    <row r="663" spans="1:8" x14ac:dyDescent="0.25">
      <c r="A663" s="19"/>
      <c r="B663" s="19"/>
      <c r="C663" s="19"/>
      <c r="D663" s="19"/>
      <c r="E663" s="19"/>
      <c r="F663" s="19"/>
      <c r="G663" s="20"/>
      <c r="H663" s="19"/>
    </row>
    <row r="664" spans="1:8" x14ac:dyDescent="0.25">
      <c r="A664" s="19"/>
      <c r="B664" s="19"/>
      <c r="C664" s="19"/>
      <c r="D664" s="19"/>
      <c r="E664" s="19"/>
      <c r="F664" s="19"/>
      <c r="G664" s="20"/>
      <c r="H664" s="19"/>
    </row>
    <row r="665" spans="1:8" x14ac:dyDescent="0.25">
      <c r="A665" s="19"/>
      <c r="B665" s="19"/>
      <c r="C665" s="19"/>
      <c r="D665" s="19"/>
      <c r="E665" s="19"/>
      <c r="F665" s="19"/>
      <c r="G665" s="20"/>
      <c r="H665" s="19"/>
    </row>
    <row r="666" spans="1:8" x14ac:dyDescent="0.25">
      <c r="A666" s="19"/>
      <c r="B666" s="19"/>
      <c r="C666" s="19"/>
      <c r="D666" s="19"/>
      <c r="E666" s="19"/>
      <c r="F666" s="19"/>
      <c r="G666" s="20"/>
      <c r="H666" s="19"/>
    </row>
    <row r="667" spans="1:8" x14ac:dyDescent="0.25">
      <c r="A667" s="19"/>
      <c r="B667" s="19"/>
      <c r="C667" s="19"/>
      <c r="D667" s="19"/>
      <c r="E667" s="19"/>
      <c r="F667" s="19"/>
      <c r="G667" s="20"/>
      <c r="H667" s="19"/>
    </row>
    <row r="668" spans="1:8" x14ac:dyDescent="0.25">
      <c r="A668" s="19"/>
      <c r="B668" s="19"/>
      <c r="C668" s="19"/>
      <c r="D668" s="19"/>
      <c r="E668" s="19"/>
      <c r="F668" s="19"/>
      <c r="G668" s="20"/>
      <c r="H668" s="19"/>
    </row>
    <row r="669" spans="1:8" x14ac:dyDescent="0.25">
      <c r="A669" s="19"/>
      <c r="B669" s="19"/>
      <c r="C669" s="19"/>
      <c r="D669" s="19"/>
      <c r="E669" s="19"/>
      <c r="F669" s="19"/>
      <c r="G669" s="20"/>
      <c r="H669" s="19"/>
    </row>
    <row r="670" spans="1:8" x14ac:dyDescent="0.25">
      <c r="A670" s="19"/>
      <c r="B670" s="19"/>
      <c r="C670" s="19"/>
      <c r="D670" s="19"/>
      <c r="E670" s="19"/>
      <c r="F670" s="19"/>
      <c r="G670" s="20"/>
      <c r="H670" s="19"/>
    </row>
    <row r="671" spans="1:8" x14ac:dyDescent="0.25">
      <c r="A671" s="19"/>
      <c r="B671" s="19"/>
      <c r="C671" s="19"/>
      <c r="D671" s="19"/>
      <c r="E671" s="19"/>
      <c r="F671" s="19"/>
      <c r="G671" s="20"/>
      <c r="H671" s="19"/>
    </row>
    <row r="672" spans="1:8" x14ac:dyDescent="0.25">
      <c r="A672" s="19"/>
      <c r="B672" s="19"/>
      <c r="C672" s="19"/>
      <c r="D672" s="19"/>
      <c r="E672" s="19"/>
      <c r="F672" s="19"/>
      <c r="G672" s="20"/>
      <c r="H672" s="19"/>
    </row>
    <row r="673" spans="1:8" x14ac:dyDescent="0.25">
      <c r="A673" s="19"/>
      <c r="B673" s="19"/>
      <c r="C673" s="19"/>
      <c r="D673" s="19"/>
      <c r="E673" s="19"/>
      <c r="F673" s="19"/>
      <c r="G673" s="20"/>
      <c r="H673" s="19"/>
    </row>
    <row r="674" spans="1:8" x14ac:dyDescent="0.25">
      <c r="A674" s="19"/>
      <c r="B674" s="19"/>
      <c r="C674" s="19"/>
      <c r="D674" s="19"/>
      <c r="E674" s="19"/>
      <c r="F674" s="19"/>
      <c r="G674" s="20"/>
      <c r="H674" s="19"/>
    </row>
    <row r="675" spans="1:8" x14ac:dyDescent="0.25">
      <c r="A675" s="19"/>
      <c r="B675" s="19"/>
      <c r="C675" s="19"/>
      <c r="D675" s="19"/>
      <c r="E675" s="19"/>
      <c r="F675" s="19"/>
      <c r="G675" s="20"/>
      <c r="H675" s="19"/>
    </row>
    <row r="676" spans="1:8" x14ac:dyDescent="0.25">
      <c r="A676" s="19"/>
      <c r="B676" s="19"/>
      <c r="C676" s="19"/>
      <c r="D676" s="19"/>
      <c r="E676" s="19"/>
      <c r="F676" s="19"/>
      <c r="G676" s="20"/>
      <c r="H676" s="19"/>
    </row>
    <row r="677" spans="1:8" x14ac:dyDescent="0.25">
      <c r="A677" s="19"/>
      <c r="B677" s="19"/>
      <c r="C677" s="19"/>
      <c r="D677" s="19"/>
      <c r="E677" s="19"/>
      <c r="F677" s="19"/>
      <c r="G677" s="20"/>
      <c r="H677" s="19"/>
    </row>
    <row r="678" spans="1:8" x14ac:dyDescent="0.25">
      <c r="A678" s="19"/>
      <c r="B678" s="19"/>
      <c r="C678" s="19"/>
      <c r="D678" s="19"/>
      <c r="E678" s="19"/>
      <c r="F678" s="19"/>
      <c r="G678" s="20"/>
      <c r="H678" s="19"/>
    </row>
    <row r="679" spans="1:8" x14ac:dyDescent="0.25">
      <c r="A679" s="19"/>
      <c r="B679" s="19"/>
      <c r="C679" s="19"/>
      <c r="D679" s="19"/>
      <c r="E679" s="19"/>
      <c r="F679" s="19"/>
      <c r="G679" s="20"/>
      <c r="H679" s="19"/>
    </row>
    <row r="680" spans="1:8" x14ac:dyDescent="0.25">
      <c r="A680" s="19"/>
      <c r="B680" s="19"/>
      <c r="C680" s="19"/>
      <c r="D680" s="19"/>
      <c r="E680" s="19"/>
      <c r="F680" s="19"/>
      <c r="G680" s="20"/>
      <c r="H680" s="19"/>
    </row>
    <row r="681" spans="1:8" x14ac:dyDescent="0.25">
      <c r="A681" s="19"/>
      <c r="B681" s="19"/>
      <c r="C681" s="19"/>
      <c r="D681" s="19"/>
      <c r="E681" s="19"/>
      <c r="F681" s="19"/>
      <c r="G681" s="20"/>
      <c r="H681" s="19"/>
    </row>
    <row r="682" spans="1:8" x14ac:dyDescent="0.25">
      <c r="A682" s="19"/>
      <c r="B682" s="19"/>
      <c r="C682" s="19"/>
      <c r="D682" s="19"/>
      <c r="E682" s="19"/>
      <c r="F682" s="19"/>
      <c r="G682" s="20"/>
      <c r="H682" s="19"/>
    </row>
    <row r="683" spans="1:8" x14ac:dyDescent="0.25">
      <c r="A683" s="19"/>
      <c r="B683" s="19"/>
      <c r="C683" s="19"/>
      <c r="D683" s="19"/>
      <c r="E683" s="19"/>
      <c r="F683" s="19"/>
      <c r="G683" s="20"/>
      <c r="H683" s="19"/>
    </row>
    <row r="684" spans="1:8" x14ac:dyDescent="0.25">
      <c r="A684" s="19"/>
      <c r="B684" s="19"/>
      <c r="C684" s="19"/>
      <c r="D684" s="19"/>
      <c r="E684" s="19"/>
      <c r="F684" s="19"/>
      <c r="G684" s="20"/>
      <c r="H684" s="19"/>
    </row>
    <row r="685" spans="1:8" x14ac:dyDescent="0.25">
      <c r="A685" s="19"/>
      <c r="B685" s="19"/>
      <c r="C685" s="19"/>
      <c r="D685" s="19"/>
      <c r="E685" s="19"/>
      <c r="F685" s="19"/>
      <c r="G685" s="20"/>
      <c r="H685" s="19"/>
    </row>
    <row r="686" spans="1:8" x14ac:dyDescent="0.25">
      <c r="A686" s="19"/>
      <c r="B686" s="19"/>
      <c r="C686" s="19"/>
      <c r="D686" s="19"/>
      <c r="E686" s="19"/>
      <c r="F686" s="19"/>
      <c r="G686" s="20"/>
      <c r="H686" s="19"/>
    </row>
    <row r="687" spans="1:8" x14ac:dyDescent="0.25">
      <c r="A687" s="19"/>
      <c r="B687" s="19"/>
      <c r="C687" s="19"/>
      <c r="D687" s="19"/>
      <c r="E687" s="19"/>
      <c r="F687" s="19"/>
      <c r="G687" s="20"/>
      <c r="H687" s="19"/>
    </row>
    <row r="688" spans="1:8" x14ac:dyDescent="0.25">
      <c r="A688" s="19"/>
      <c r="B688" s="19"/>
      <c r="C688" s="19"/>
      <c r="D688" s="19"/>
      <c r="E688" s="19"/>
      <c r="F688" s="19"/>
      <c r="G688" s="20"/>
      <c r="H688" s="19"/>
    </row>
    <row r="689" spans="1:8" x14ac:dyDescent="0.25">
      <c r="A689" s="19"/>
      <c r="B689" s="19"/>
      <c r="C689" s="19"/>
      <c r="D689" s="19"/>
      <c r="E689" s="19"/>
      <c r="F689" s="19"/>
      <c r="G689" s="20"/>
      <c r="H689" s="19"/>
    </row>
    <row r="690" spans="1:8" x14ac:dyDescent="0.25">
      <c r="A690" s="19"/>
      <c r="B690" s="19"/>
      <c r="C690" s="19"/>
      <c r="D690" s="19"/>
      <c r="E690" s="19"/>
      <c r="F690" s="19"/>
      <c r="G690" s="20"/>
      <c r="H690" s="19"/>
    </row>
    <row r="691" spans="1:8" x14ac:dyDescent="0.25">
      <c r="A691" s="19"/>
      <c r="B691" s="19"/>
      <c r="C691" s="19"/>
      <c r="D691" s="19"/>
      <c r="E691" s="19"/>
      <c r="F691" s="19"/>
      <c r="G691" s="20"/>
      <c r="H691" s="19"/>
    </row>
    <row r="692" spans="1:8" x14ac:dyDescent="0.25">
      <c r="A692" s="19"/>
      <c r="B692" s="19"/>
      <c r="C692" s="19"/>
      <c r="D692" s="19"/>
      <c r="E692" s="19"/>
      <c r="F692" s="19"/>
      <c r="G692" s="20"/>
      <c r="H692" s="19"/>
    </row>
    <row r="693" spans="1:8" x14ac:dyDescent="0.25">
      <c r="A693" s="19"/>
      <c r="B693" s="19"/>
      <c r="C693" s="19"/>
      <c r="D693" s="19"/>
      <c r="E693" s="19"/>
      <c r="F693" s="19"/>
      <c r="G693" s="20"/>
      <c r="H693" s="19"/>
    </row>
    <row r="694" spans="1:8" x14ac:dyDescent="0.25">
      <c r="A694" s="19"/>
      <c r="B694" s="19"/>
      <c r="C694" s="19"/>
      <c r="D694" s="19"/>
      <c r="E694" s="19"/>
      <c r="F694" s="19"/>
      <c r="G694" s="20"/>
      <c r="H694" s="19"/>
    </row>
    <row r="695" spans="1:8" x14ac:dyDescent="0.25">
      <c r="A695" s="19"/>
      <c r="B695" s="19"/>
      <c r="C695" s="19"/>
      <c r="D695" s="19"/>
      <c r="E695" s="19"/>
      <c r="F695" s="19"/>
      <c r="G695" s="20"/>
      <c r="H695" s="19"/>
    </row>
    <row r="696" spans="1:8" x14ac:dyDescent="0.25">
      <c r="A696" s="19"/>
      <c r="B696" s="19"/>
      <c r="C696" s="19"/>
      <c r="D696" s="19"/>
      <c r="E696" s="19"/>
      <c r="F696" s="19"/>
      <c r="G696" s="20"/>
      <c r="H696" s="19"/>
    </row>
    <row r="697" spans="1:8" x14ac:dyDescent="0.25">
      <c r="A697" s="19"/>
      <c r="B697" s="19"/>
      <c r="C697" s="19"/>
      <c r="D697" s="19"/>
      <c r="E697" s="19"/>
      <c r="F697" s="19"/>
      <c r="G697" s="20"/>
      <c r="H697" s="19"/>
    </row>
    <row r="698" spans="1:8" x14ac:dyDescent="0.25">
      <c r="A698" s="19"/>
      <c r="B698" s="19"/>
      <c r="C698" s="19"/>
      <c r="D698" s="19"/>
      <c r="E698" s="19"/>
      <c r="F698" s="19"/>
      <c r="G698" s="20"/>
      <c r="H698" s="19"/>
    </row>
    <row r="699" spans="1:8" x14ac:dyDescent="0.25">
      <c r="A699" s="19"/>
      <c r="B699" s="19"/>
      <c r="C699" s="19"/>
      <c r="D699" s="19"/>
      <c r="E699" s="19"/>
      <c r="F699" s="19"/>
      <c r="G699" s="20"/>
      <c r="H699" s="19"/>
    </row>
    <row r="700" spans="1:8" x14ac:dyDescent="0.25">
      <c r="A700" s="19"/>
      <c r="B700" s="19"/>
      <c r="C700" s="19"/>
      <c r="D700" s="19"/>
      <c r="E700" s="19"/>
      <c r="F700" s="19"/>
      <c r="G700" s="20"/>
      <c r="H700" s="19"/>
    </row>
    <row r="701" spans="1:8" x14ac:dyDescent="0.25">
      <c r="A701" s="19"/>
      <c r="B701" s="19"/>
      <c r="C701" s="19"/>
      <c r="D701" s="19"/>
      <c r="E701" s="19"/>
      <c r="F701" s="19"/>
      <c r="G701" s="20"/>
      <c r="H701" s="19"/>
    </row>
    <row r="702" spans="1:8" x14ac:dyDescent="0.25">
      <c r="A702" s="19"/>
      <c r="B702" s="19"/>
      <c r="C702" s="19"/>
      <c r="D702" s="19"/>
      <c r="E702" s="19"/>
      <c r="F702" s="19"/>
      <c r="G702" s="20"/>
      <c r="H702" s="19"/>
    </row>
    <row r="703" spans="1:8" x14ac:dyDescent="0.25">
      <c r="A703" s="19"/>
      <c r="B703" s="19"/>
      <c r="C703" s="19"/>
      <c r="D703" s="19"/>
      <c r="E703" s="19"/>
      <c r="F703" s="19"/>
      <c r="G703" s="20"/>
      <c r="H703" s="19"/>
    </row>
    <row r="704" spans="1:8" x14ac:dyDescent="0.25">
      <c r="A704" s="19"/>
      <c r="B704" s="19"/>
      <c r="C704" s="19"/>
      <c r="D704" s="19"/>
      <c r="E704" s="19"/>
      <c r="F704" s="19"/>
      <c r="G704" s="20"/>
      <c r="H704" s="19"/>
    </row>
    <row r="705" spans="1:8" x14ac:dyDescent="0.25">
      <c r="A705" s="19"/>
      <c r="B705" s="19"/>
      <c r="C705" s="19"/>
      <c r="D705" s="19"/>
      <c r="E705" s="19"/>
      <c r="F705" s="19"/>
      <c r="G705" s="20"/>
      <c r="H705" s="19"/>
    </row>
    <row r="706" spans="1:8" x14ac:dyDescent="0.25">
      <c r="A706" s="19"/>
      <c r="B706" s="19"/>
      <c r="C706" s="19"/>
      <c r="D706" s="19"/>
      <c r="E706" s="19"/>
      <c r="F706" s="19"/>
      <c r="G706" s="20"/>
      <c r="H706" s="19"/>
    </row>
    <row r="707" spans="1:8" x14ac:dyDescent="0.25">
      <c r="A707" s="19"/>
      <c r="B707" s="19"/>
      <c r="C707" s="19"/>
      <c r="D707" s="19"/>
      <c r="E707" s="19"/>
      <c r="F707" s="19"/>
      <c r="G707" s="20"/>
      <c r="H707" s="19"/>
    </row>
    <row r="708" spans="1:8" x14ac:dyDescent="0.25">
      <c r="A708" s="19"/>
      <c r="B708" s="19"/>
      <c r="C708" s="19"/>
      <c r="D708" s="19"/>
      <c r="E708" s="19"/>
      <c r="F708" s="19"/>
      <c r="G708" s="20"/>
      <c r="H708" s="19"/>
    </row>
    <row r="709" spans="1:8" x14ac:dyDescent="0.25">
      <c r="A709" s="19"/>
      <c r="B709" s="19"/>
      <c r="C709" s="19"/>
      <c r="D709" s="19"/>
      <c r="E709" s="19"/>
      <c r="F709" s="19"/>
      <c r="G709" s="20"/>
      <c r="H709" s="19"/>
    </row>
    <row r="710" spans="1:8" x14ac:dyDescent="0.25">
      <c r="A710" s="19"/>
      <c r="B710" s="19"/>
      <c r="C710" s="19"/>
      <c r="D710" s="19"/>
      <c r="E710" s="19"/>
      <c r="F710" s="19"/>
      <c r="G710" s="20"/>
      <c r="H710" s="19"/>
    </row>
    <row r="711" spans="1:8" x14ac:dyDescent="0.25">
      <c r="A711" s="19"/>
      <c r="B711" s="19"/>
      <c r="C711" s="19"/>
      <c r="D711" s="19"/>
      <c r="E711" s="19"/>
      <c r="F711" s="19"/>
      <c r="G711" s="20"/>
      <c r="H711" s="19"/>
    </row>
    <row r="712" spans="1:8" x14ac:dyDescent="0.25">
      <c r="A712" s="19"/>
      <c r="B712" s="19"/>
      <c r="C712" s="19"/>
      <c r="D712" s="19"/>
      <c r="E712" s="19"/>
      <c r="F712" s="19"/>
      <c r="G712" s="20"/>
      <c r="H712" s="19"/>
    </row>
    <row r="713" spans="1:8" x14ac:dyDescent="0.25">
      <c r="A713" s="19"/>
      <c r="B713" s="19"/>
      <c r="C713" s="19"/>
      <c r="D713" s="19"/>
      <c r="E713" s="19"/>
      <c r="F713" s="19"/>
      <c r="G713" s="20"/>
      <c r="H713" s="19"/>
    </row>
    <row r="714" spans="1:8" x14ac:dyDescent="0.25">
      <c r="A714" s="19"/>
      <c r="B714" s="19"/>
      <c r="C714" s="19"/>
      <c r="D714" s="19"/>
      <c r="E714" s="19"/>
      <c r="F714" s="19"/>
      <c r="G714" s="20"/>
      <c r="H714" s="19"/>
    </row>
    <row r="715" spans="1:8" x14ac:dyDescent="0.25">
      <c r="A715" s="19"/>
      <c r="B715" s="19"/>
      <c r="C715" s="19"/>
      <c r="D715" s="19"/>
      <c r="E715" s="19"/>
      <c r="F715" s="19"/>
      <c r="G715" s="20"/>
      <c r="H715" s="19"/>
    </row>
    <row r="716" spans="1:8" x14ac:dyDescent="0.25">
      <c r="A716" s="19"/>
      <c r="B716" s="19"/>
      <c r="C716" s="19"/>
      <c r="D716" s="19"/>
      <c r="E716" s="19"/>
      <c r="F716" s="19"/>
      <c r="G716" s="20"/>
      <c r="H716" s="19"/>
    </row>
    <row r="717" spans="1:8" x14ac:dyDescent="0.25">
      <c r="A717" s="19"/>
      <c r="B717" s="19"/>
      <c r="C717" s="19"/>
      <c r="D717" s="19"/>
      <c r="E717" s="19"/>
      <c r="F717" s="19"/>
      <c r="G717" s="20"/>
      <c r="H717" s="19"/>
    </row>
    <row r="718" spans="1:8" x14ac:dyDescent="0.25">
      <c r="A718" s="19"/>
      <c r="B718" s="19"/>
      <c r="C718" s="19"/>
      <c r="D718" s="19"/>
      <c r="E718" s="19"/>
      <c r="F718" s="19"/>
      <c r="G718" s="20"/>
      <c r="H718" s="19"/>
    </row>
    <row r="719" spans="1:8" x14ac:dyDescent="0.25">
      <c r="A719" s="19"/>
      <c r="B719" s="19"/>
      <c r="C719" s="19"/>
      <c r="D719" s="19"/>
      <c r="E719" s="19"/>
      <c r="F719" s="19"/>
      <c r="G719" s="20"/>
      <c r="H719" s="19"/>
    </row>
    <row r="720" spans="1:8" x14ac:dyDescent="0.25">
      <c r="A720" s="19"/>
      <c r="B720" s="19"/>
      <c r="C720" s="19"/>
      <c r="D720" s="19"/>
      <c r="E720" s="19"/>
      <c r="F720" s="19"/>
      <c r="G720" s="20"/>
      <c r="H720" s="19"/>
    </row>
    <row r="721" spans="1:8" x14ac:dyDescent="0.25">
      <c r="A721" s="19"/>
      <c r="B721" s="19"/>
      <c r="C721" s="19"/>
      <c r="D721" s="19"/>
      <c r="E721" s="19"/>
      <c r="F721" s="19"/>
      <c r="G721" s="20"/>
      <c r="H721" s="19"/>
    </row>
    <row r="722" spans="1:8" x14ac:dyDescent="0.25">
      <c r="A722" s="19"/>
      <c r="B722" s="19"/>
      <c r="C722" s="19"/>
      <c r="D722" s="19"/>
      <c r="E722" s="19"/>
      <c r="F722" s="19"/>
      <c r="G722" s="20"/>
      <c r="H722" s="19"/>
    </row>
    <row r="723" spans="1:8" x14ac:dyDescent="0.25">
      <c r="A723" s="19"/>
      <c r="B723" s="19"/>
      <c r="C723" s="19"/>
      <c r="D723" s="19"/>
      <c r="E723" s="19"/>
      <c r="F723" s="19"/>
      <c r="G723" s="20"/>
      <c r="H723" s="19"/>
    </row>
    <row r="724" spans="1:8" x14ac:dyDescent="0.25">
      <c r="A724" s="19"/>
      <c r="B724" s="19"/>
      <c r="C724" s="19"/>
      <c r="D724" s="19"/>
      <c r="E724" s="19"/>
      <c r="F724" s="19"/>
      <c r="G724" s="20"/>
      <c r="H724" s="19"/>
    </row>
    <row r="725" spans="1:8" x14ac:dyDescent="0.25">
      <c r="A725" s="19"/>
      <c r="B725" s="19"/>
      <c r="C725" s="19"/>
      <c r="D725" s="19"/>
      <c r="E725" s="19"/>
      <c r="F725" s="19"/>
      <c r="G725" s="20"/>
      <c r="H725" s="19"/>
    </row>
    <row r="726" spans="1:8" x14ac:dyDescent="0.25">
      <c r="A726" s="19"/>
      <c r="B726" s="19"/>
      <c r="C726" s="19"/>
      <c r="D726" s="19"/>
      <c r="E726" s="19"/>
      <c r="F726" s="19"/>
      <c r="G726" s="20"/>
      <c r="H726" s="19"/>
    </row>
    <row r="727" spans="1:8" x14ac:dyDescent="0.25">
      <c r="A727" s="19"/>
      <c r="B727" s="19"/>
      <c r="C727" s="19"/>
      <c r="D727" s="19"/>
      <c r="E727" s="19"/>
      <c r="F727" s="19"/>
      <c r="G727" s="20"/>
      <c r="H727" s="19"/>
    </row>
    <row r="728" spans="1:8" x14ac:dyDescent="0.25">
      <c r="A728" s="19"/>
      <c r="B728" s="19"/>
      <c r="C728" s="19"/>
      <c r="D728" s="19"/>
      <c r="E728" s="19"/>
      <c r="F728" s="19"/>
      <c r="G728" s="20"/>
      <c r="H728" s="19"/>
    </row>
    <row r="729" spans="1:8" x14ac:dyDescent="0.25">
      <c r="A729" s="56"/>
      <c r="B729" s="56"/>
      <c r="C729" s="56"/>
      <c r="D729" s="56"/>
      <c r="E729" s="56"/>
      <c r="F729" s="56"/>
      <c r="G729" s="56"/>
      <c r="H729" s="56"/>
    </row>
    <row r="730" spans="1:8" ht="15" customHeight="1" x14ac:dyDescent="0.25">
      <c r="A730" s="56"/>
      <c r="B730" s="56"/>
      <c r="C730" s="56"/>
      <c r="D730" s="56"/>
      <c r="E730" s="56"/>
      <c r="F730" s="18"/>
      <c r="G730" s="21"/>
    </row>
    <row r="731" spans="1:8" x14ac:dyDescent="0.25">
      <c r="A731" s="18"/>
    </row>
    <row r="732" spans="1:8" x14ac:dyDescent="0.25">
      <c r="A732" s="56"/>
      <c r="B732" s="56"/>
      <c r="C732" s="56"/>
      <c r="D732" s="56"/>
      <c r="E732" s="56"/>
      <c r="F732" s="56"/>
      <c r="G732" s="56"/>
      <c r="H732" s="56"/>
    </row>
    <row r="733" spans="1:8" ht="15" customHeight="1" x14ac:dyDescent="0.25">
      <c r="A733" s="56"/>
      <c r="B733" s="56"/>
      <c r="C733" s="56"/>
      <c r="D733" s="56"/>
      <c r="E733" s="56"/>
      <c r="F733" s="18"/>
      <c r="G733" s="21"/>
      <c r="H733" s="18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20" sqref="I20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3" customWidth="1"/>
  </cols>
  <sheetData>
    <row r="1" spans="1:16" ht="18.75" x14ac:dyDescent="0.4">
      <c r="A1" s="57" t="s">
        <v>0</v>
      </c>
      <c r="B1" s="57"/>
      <c r="C1" s="57"/>
      <c r="D1" s="57"/>
      <c r="E1" s="57"/>
      <c r="F1" s="57"/>
      <c r="G1" s="57"/>
      <c r="I1" s="15" t="s">
        <v>54</v>
      </c>
      <c r="J1" s="16">
        <f>G10</f>
        <v>-371.14</v>
      </c>
      <c r="L1" s="35" t="s">
        <v>88</v>
      </c>
      <c r="M1" s="36">
        <f>28+30+16</f>
        <v>74</v>
      </c>
      <c r="O1" s="41" t="s">
        <v>7</v>
      </c>
      <c r="P1" s="42"/>
    </row>
    <row r="2" spans="1:16" ht="18.75" x14ac:dyDescent="0.4">
      <c r="A2" s="57"/>
      <c r="B2" s="57"/>
      <c r="C2" s="57"/>
      <c r="D2" s="57"/>
      <c r="E2" s="57"/>
      <c r="F2" s="57"/>
      <c r="G2" s="57"/>
      <c r="I2" s="11" t="s">
        <v>60</v>
      </c>
      <c r="J2" s="12">
        <f>D54*-1</f>
        <v>-82.04</v>
      </c>
      <c r="L2" s="37" t="s">
        <v>61</v>
      </c>
      <c r="M2" s="35">
        <f>J1+M1</f>
        <v>-297.14</v>
      </c>
      <c r="O2" s="41" t="s">
        <v>91</v>
      </c>
      <c r="P2" s="42"/>
    </row>
    <row r="3" spans="1:16" ht="18.75" x14ac:dyDescent="0.4">
      <c r="A3" s="57"/>
      <c r="B3" s="57"/>
      <c r="C3" s="57"/>
      <c r="D3" s="57"/>
      <c r="E3" s="57"/>
      <c r="F3" s="57"/>
      <c r="G3" s="57"/>
      <c r="I3" s="13" t="s">
        <v>53</v>
      </c>
      <c r="J3" s="14">
        <f>G54+J1+J2</f>
        <v>103974.07000000002</v>
      </c>
      <c r="O3" s="41" t="s">
        <v>89</v>
      </c>
      <c r="P3" s="50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3" t="s">
        <v>90</v>
      </c>
      <c r="P4" s="44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3">
        <f>(C5+D5)-E5-F5</f>
        <v>0</v>
      </c>
      <c r="I5" s="5"/>
      <c r="J5" s="23"/>
      <c r="K5" s="5"/>
    </row>
    <row r="6" spans="1:16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-2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3">
        <f t="shared" ref="G6:G53" si="0">(C6+D6)-E6-F6</f>
        <v>-2</v>
      </c>
      <c r="H6">
        <v>7110110</v>
      </c>
      <c r="I6" s="3"/>
      <c r="J6" s="39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3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3">
        <f t="shared" si="0"/>
        <v>0</v>
      </c>
      <c r="I8" s="10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3">
        <f t="shared" si="0"/>
        <v>0</v>
      </c>
      <c r="J9" s="38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-371.14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3">
        <f>C10+D10</f>
        <v>-371.14</v>
      </c>
      <c r="J10" s="39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7.9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3">
        <f t="shared" si="0"/>
        <v>7.9</v>
      </c>
      <c r="J11" s="40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3">
        <f t="shared" si="0"/>
        <v>0</v>
      </c>
      <c r="I12" s="10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3">
        <f t="shared" si="0"/>
        <v>0</v>
      </c>
      <c r="I13" s="10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3">
        <f t="shared" si="0"/>
        <v>0</v>
      </c>
      <c r="I14" s="10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3">
        <f t="shared" si="0"/>
        <v>0</v>
      </c>
      <c r="I15" s="10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3">
        <f t="shared" si="0"/>
        <v>0</v>
      </c>
      <c r="I16" s="10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3">
        <f t="shared" si="0"/>
        <v>0</v>
      </c>
      <c r="I17" s="10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3">
        <f t="shared" si="0"/>
        <v>0</v>
      </c>
      <c r="I18" s="10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3">
        <f t="shared" si="0"/>
        <v>0</v>
      </c>
      <c r="I19" s="10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4.05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3">
        <f t="shared" si="0"/>
        <v>4.05</v>
      </c>
      <c r="I20" s="10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3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15449.51</v>
      </c>
      <c r="D22" s="3">
        <f>IFERROR(INDEX('SubDept Coupon (Local Discount)'!G$1:G$100,MATCH('SubDept Sales Report'!A22,'SubDept Coupon (Local Discount)'!A$1:A$100,0)),0)</f>
        <v>6.95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3">
        <f t="shared" si="0"/>
        <v>15456.460000000001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11153.55</v>
      </c>
      <c r="D23" s="3">
        <f>IFERROR(INDEX('SubDept Coupon (Local Discount)'!G$1:G$100,MATCH('SubDept Sales Report'!A23,'SubDept Coupon (Local Discount)'!A$1:A$100,0)),0)</f>
        <v>30.7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3">
        <f t="shared" si="0"/>
        <v>11184.25</v>
      </c>
      <c r="I23" s="10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3189.82</v>
      </c>
      <c r="D24" s="3">
        <f>IFERROR(INDEX('SubDept Coupon (Local Discount)'!G$1:G$100,MATCH('SubDept Sales Report'!A24,'SubDept Coupon (Local Discount)'!A$1:A$100,0)),0)</f>
        <v>2.92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3">
        <f t="shared" si="0"/>
        <v>3192.7400000000002</v>
      </c>
      <c r="I24" s="10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9859.59</v>
      </c>
      <c r="D25" s="3">
        <f>IFERROR(INDEX('SubDept Coupon (Local Discount)'!G$1:G$100,MATCH('SubDept Sales Report'!A25,'SubDept Coupon (Local Discount)'!A$1:A$100,0)),0)</f>
        <v>0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3">
        <f t="shared" si="0"/>
        <v>9859.59</v>
      </c>
      <c r="I25" s="10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961.79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3">
        <f t="shared" si="0"/>
        <v>961.79</v>
      </c>
      <c r="I26" s="10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2441.23</v>
      </c>
      <c r="D27" s="3">
        <f>IFERROR(INDEX('SubDept Coupon (Local Discount)'!G$1:G$100,MATCH('SubDept Sales Report'!A27,'SubDept Coupon (Local Discount)'!A$1:A$100,0)),0)</f>
        <v>17.36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3">
        <f t="shared" si="0"/>
        <v>2458.59</v>
      </c>
      <c r="I27" s="10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1268.53</v>
      </c>
      <c r="D28" s="3">
        <f>IFERROR(INDEX('SubDept Coupon (Local Discount)'!G$1:G$100,MATCH('SubDept Sales Report'!A28,'SubDept Coupon (Local Discount)'!A$1:A$100,0)),0)</f>
        <v>4.46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3">
        <f t="shared" si="0"/>
        <v>1272.99</v>
      </c>
      <c r="I28" s="10"/>
      <c r="J28" s="3"/>
      <c r="K28" s="3"/>
    </row>
    <row r="29" spans="1:1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-17.12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73">
        <f t="shared" si="0"/>
        <v>-17.12</v>
      </c>
      <c r="H29">
        <v>7110110</v>
      </c>
      <c r="I29" s="10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440.69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3">
        <f t="shared" si="0"/>
        <v>440.69</v>
      </c>
      <c r="I30" s="10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643.53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3">
        <f t="shared" si="0"/>
        <v>643.53</v>
      </c>
      <c r="I31" s="10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9478.24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3">
        <f t="shared" si="0"/>
        <v>9478.24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2829.48</v>
      </c>
      <c r="D33" s="3">
        <f>IFERROR(INDEX('SubDept Coupon (Local Discount)'!G$1:G$100,MATCH('SubDept Sales Report'!A33,'SubDept Coupon (Local Discount)'!A$1:A$100,0)),0)</f>
        <v>2.13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3">
        <f t="shared" si="0"/>
        <v>2831.61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157.94999999999999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3">
        <f>C34+D34</f>
        <v>157.94999999999999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596.99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3">
        <f t="shared" si="0"/>
        <v>596.99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1014.84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3">
        <f t="shared" si="0"/>
        <v>1014.84</v>
      </c>
      <c r="I36" s="10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667.6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3">
        <f t="shared" si="0"/>
        <v>667.6</v>
      </c>
      <c r="I37" s="10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3">
        <f>C38+D38+E54+F54</f>
        <v>0</v>
      </c>
      <c r="I38" s="10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5282.2</v>
      </c>
      <c r="D39" s="3">
        <f>IFERROR(INDEX('SubDept Coupon (Local Discount)'!G$1:G$100,MATCH('SubDept Sales Report'!A39,'SubDept Coupon (Local Discount)'!A$1:A$100,0)),0)</f>
        <v>4.2300000000000004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3">
        <f t="shared" si="0"/>
        <v>5286.4299999999994</v>
      </c>
      <c r="I39" s="10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7402.84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3">
        <f t="shared" si="0"/>
        <v>7402.84</v>
      </c>
      <c r="I40" s="10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2075.5300000000002</v>
      </c>
      <c r="D41" s="3">
        <f>IFERROR(INDEX('SubDept Coupon (Local Discount)'!G$1:G$100,MATCH('SubDept Sales Report'!A41,'SubDept Coupon (Local Discount)'!A$1:A$100,0)),0)</f>
        <v>7.41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3">
        <f t="shared" si="0"/>
        <v>2082.94</v>
      </c>
      <c r="I41" s="10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2417.2399999999998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3">
        <f t="shared" si="0"/>
        <v>2417.2399999999998</v>
      </c>
      <c r="I42" s="10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1530.03</v>
      </c>
      <c r="D43" s="3">
        <f>IFERROR(INDEX('SubDept Coupon (Local Discount)'!G$1:G$100,MATCH('SubDept Sales Report'!A43,'SubDept Coupon (Local Discount)'!A$1:A$100,0)),0)</f>
        <v>2.29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3">
        <f t="shared" si="0"/>
        <v>1532.32</v>
      </c>
      <c r="I43" s="10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15541.43</v>
      </c>
      <c r="D44" s="3">
        <f>IFERROR(INDEX('SubDept Coupon (Local Discount)'!G$1:G$100,MATCH('SubDept Sales Report'!A44,'SubDept Coupon (Local Discount)'!A$1:A$100,0)),0)</f>
        <v>1.25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3">
        <f t="shared" si="0"/>
        <v>15542.68</v>
      </c>
      <c r="I44" s="10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1468.72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3">
        <f t="shared" si="0"/>
        <v>1468.72</v>
      </c>
      <c r="I45" s="10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2882.57</v>
      </c>
      <c r="D46" s="3">
        <f>IFERROR(INDEX('SubDept Coupon (Local Discount)'!G$1:G$100,MATCH('SubDept Sales Report'!A46,'SubDept Coupon (Local Discount)'!A$1:A$100,0)),0)</f>
        <v>2.34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3">
        <f t="shared" si="0"/>
        <v>2884.9100000000003</v>
      </c>
      <c r="I46" s="10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5493.71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3">
        <f t="shared" si="0"/>
        <v>5493.71</v>
      </c>
      <c r="I47" s="10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3">
        <f t="shared" si="0"/>
        <v>0</v>
      </c>
      <c r="I48" s="10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3">
        <f t="shared" si="0"/>
        <v>0</v>
      </c>
      <c r="I49" s="10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27.98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3">
        <f t="shared" si="0"/>
        <v>27.98</v>
      </c>
      <c r="I50" s="10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3">
        <f t="shared" si="0"/>
        <v>0</v>
      </c>
      <c r="I51" s="10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3">
        <f t="shared" si="0"/>
        <v>0</v>
      </c>
      <c r="I52" s="10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76.790000000000006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3">
        <f t="shared" si="0"/>
        <v>76.790000000000006</v>
      </c>
      <c r="I53" s="10"/>
      <c r="J53" s="3"/>
      <c r="K53" s="3"/>
    </row>
    <row r="54" spans="1:11" x14ac:dyDescent="0.25">
      <c r="B54" s="17" t="s">
        <v>52</v>
      </c>
      <c r="C54" s="3">
        <f>SUM(C5:C53)</f>
        <v>103974.06999999999</v>
      </c>
      <c r="D54" s="9">
        <f>SUM(D5:D53)</f>
        <v>82.04</v>
      </c>
      <c r="E54" s="9">
        <f>SUM(E5:E53)</f>
        <v>0</v>
      </c>
      <c r="F54" s="9">
        <f>SUM(F5:F53)</f>
        <v>0</v>
      </c>
      <c r="G54" s="34">
        <f>SUM(G11:G53,G9,G8,G7,G6,G5)</f>
        <v>104427.25000000001</v>
      </c>
      <c r="I54" s="10"/>
      <c r="J54" s="3"/>
      <c r="K54" s="3"/>
    </row>
  </sheetData>
  <autoFilter ref="A4:G54" xr:uid="{459199FD-0CD3-4C93-B98C-3BA614742282}">
    <filterColumn colId="6">
      <filters>
        <filter val="$(2.00)"/>
        <filter val="$(371.14)"/>
        <filter val="$4.05"/>
        <filter val="$7.90"/>
        <filter val="1014.84"/>
        <filter val="104427.25"/>
        <filter val="11184.25"/>
        <filter val="1272.99"/>
        <filter val="1468.72"/>
        <filter val="1532.32"/>
        <filter val="15456.46"/>
        <filter val="15542.68"/>
        <filter val="157.95"/>
        <filter val="-17.12"/>
        <filter val="2082.94"/>
        <filter val="2417.24"/>
        <filter val="2458.59"/>
        <filter val="27.98"/>
        <filter val="2831.61"/>
        <filter val="2884.91"/>
        <filter val="3192.74"/>
        <filter val="440.69"/>
        <filter val="5286.43"/>
        <filter val="5493.71"/>
        <filter val="596.99"/>
        <filter val="643.53"/>
        <filter val="667.6"/>
        <filter val="7402.84"/>
        <filter val="76.79"/>
        <filter val="9478.24"/>
        <filter val="961.79"/>
        <filter val="9859.59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2026-08-03T12:39:34Z</dcterms:modified>
</cp:coreProperties>
</file>