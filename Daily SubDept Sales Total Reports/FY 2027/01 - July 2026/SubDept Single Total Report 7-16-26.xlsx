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5B641120-AEDC-457F-80FD-60FD3DE73106}" xr6:coauthVersionLast="47" xr6:coauthVersionMax="47" xr10:uidLastSave="{00000000-0000-0000-0000-000000000000}"/>
  <bookViews>
    <workbookView xWindow="-24120" yWindow="-120" windowWidth="24240" windowHeight="130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<sst xmlns="http://schemas.openxmlformats.org/spreadsheetml/2006/main" count="138" uniqueCount="92">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</sst>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79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4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7" fontId="21" fillId="0" borderId="0" xfId="11" applyNumberFormat="1" applyFill="1" applyAlignment="1" applyProtection="1">
      <alignment horizontal="right" vertical="top"/>
      <protection locked="0"/>
    </xf>
    <xf numFmtId="166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44" fontId="0" fillId="0" borderId="0" xfId="3" applyNumberFormat="1" applyFont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97EAB2C3-86AD-4202-9ECE-B2700BFD76C2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topLeftCell="A13"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64">
        <v>27</v>
      </c>
      <c r="B1" s="65" t="s">
        <v>11</v>
      </c>
      <c r="C1" s="63"/>
      <c r="D1" s="63"/>
      <c r="E1" s="63"/>
      <c r="F1" s="66">
        <v>-3</v>
      </c>
      <c r="G1" s="67">
        <v>-494</v>
      </c>
    </row>
    <row r="2" spans="1:7" x14ac:dyDescent="0.25">
      <c r="A2" s="64">
        <v>28</v>
      </c>
      <c r="B2" s="65" t="s">
        <v>12</v>
      </c>
      <c r="C2" s="63"/>
      <c r="D2" s="63"/>
      <c r="E2" s="63"/>
      <c r="F2" s="66">
        <v>62</v>
      </c>
      <c r="G2" s="68">
        <v>6.2</v>
      </c>
    </row>
    <row r="3" spans="1:7" x14ac:dyDescent="0.25">
      <c r="A3" s="64">
        <v>38</v>
      </c>
      <c r="B3" s="65" t="s">
        <v>55</v>
      </c>
      <c r="C3" s="63"/>
      <c r="D3" s="63"/>
      <c r="E3" s="63"/>
      <c r="F3" s="66">
        <v>66</v>
      </c>
      <c r="G3" s="68">
        <v>3.3</v>
      </c>
    </row>
    <row r="4" spans="1:7" x14ac:dyDescent="0.25">
      <c r="A4" s="64">
        <v>110</v>
      </c>
      <c r="B4" s="65" t="s">
        <v>22</v>
      </c>
      <c r="C4" s="63"/>
      <c r="D4" s="63"/>
      <c r="E4" s="63"/>
      <c r="F4" s="66">
        <v>3094</v>
      </c>
      <c r="G4" s="69">
        <v>14416.45</v>
      </c>
    </row>
    <row r="5" spans="1:7" x14ac:dyDescent="0.25">
      <c r="A5" s="64">
        <v>120</v>
      </c>
      <c r="B5" s="65" t="s">
        <v>23</v>
      </c>
      <c r="C5" s="63"/>
      <c r="D5" s="63"/>
      <c r="E5" s="63"/>
      <c r="F5" s="66">
        <v>1898</v>
      </c>
      <c r="G5" s="70">
        <v>9576.7900000000009</v>
      </c>
    </row>
    <row r="6" spans="1:7" x14ac:dyDescent="0.25">
      <c r="A6" s="64">
        <v>130</v>
      </c>
      <c r="B6" s="65" t="s">
        <v>24</v>
      </c>
      <c r="C6" s="63"/>
      <c r="D6" s="63"/>
      <c r="E6" s="63"/>
      <c r="F6" s="66">
        <v>368</v>
      </c>
      <c r="G6" s="70">
        <v>2449.83</v>
      </c>
    </row>
    <row r="7" spans="1:7" x14ac:dyDescent="0.25">
      <c r="A7" s="64">
        <v>140</v>
      </c>
      <c r="B7" s="65" t="s">
        <v>25</v>
      </c>
      <c r="C7" s="63"/>
      <c r="D7" s="63"/>
      <c r="E7" s="63"/>
      <c r="F7" s="66">
        <v>1213</v>
      </c>
      <c r="G7" s="70">
        <v>8406.52</v>
      </c>
    </row>
    <row r="8" spans="1:7" x14ac:dyDescent="0.25">
      <c r="A8" s="64">
        <v>142</v>
      </c>
      <c r="B8" s="65" t="s">
        <v>26</v>
      </c>
      <c r="C8" s="63"/>
      <c r="D8" s="63"/>
      <c r="E8" s="63"/>
      <c r="F8" s="66">
        <v>163</v>
      </c>
      <c r="G8" s="67">
        <v>798.85</v>
      </c>
    </row>
    <row r="9" spans="1:7" x14ac:dyDescent="0.25">
      <c r="A9" s="64">
        <v>150</v>
      </c>
      <c r="B9" s="65" t="s">
        <v>27</v>
      </c>
      <c r="C9" s="63"/>
      <c r="D9" s="63"/>
      <c r="E9" s="63"/>
      <c r="F9" s="66">
        <v>325</v>
      </c>
      <c r="G9" s="70">
        <v>1933.28</v>
      </c>
    </row>
    <row r="10" spans="1:7" x14ac:dyDescent="0.25">
      <c r="A10" s="64">
        <v>160</v>
      </c>
      <c r="B10" s="65" t="s">
        <v>28</v>
      </c>
      <c r="C10" s="63"/>
      <c r="D10" s="63"/>
      <c r="E10" s="63"/>
      <c r="F10" s="66">
        <v>85</v>
      </c>
      <c r="G10" s="67">
        <v>906.65</v>
      </c>
    </row>
    <row r="11" spans="1:7" x14ac:dyDescent="0.25">
      <c r="A11" s="64">
        <v>180</v>
      </c>
      <c r="B11" s="65" t="s">
        <v>30</v>
      </c>
      <c r="C11" s="63"/>
      <c r="D11" s="63"/>
      <c r="E11" s="63"/>
      <c r="F11" s="66">
        <v>110</v>
      </c>
      <c r="G11" s="67">
        <v>308.3</v>
      </c>
    </row>
    <row r="12" spans="1:7" x14ac:dyDescent="0.25">
      <c r="A12" s="64">
        <v>190</v>
      </c>
      <c r="B12" s="65" t="s">
        <v>31</v>
      </c>
      <c r="C12" s="63"/>
      <c r="D12" s="63"/>
      <c r="E12" s="63"/>
      <c r="F12" s="66">
        <v>113</v>
      </c>
      <c r="G12" s="67">
        <v>837.46</v>
      </c>
    </row>
    <row r="13" spans="1:7" x14ac:dyDescent="0.25">
      <c r="A13" s="64">
        <v>210</v>
      </c>
      <c r="B13" s="65" t="s">
        <v>32</v>
      </c>
      <c r="C13" s="63"/>
      <c r="D13" s="63"/>
      <c r="E13" s="63"/>
      <c r="F13" s="66">
        <v>1187</v>
      </c>
      <c r="G13" s="69">
        <v>10239.6</v>
      </c>
    </row>
    <row r="14" spans="1:7" x14ac:dyDescent="0.25">
      <c r="A14" s="64">
        <v>220</v>
      </c>
      <c r="B14" s="65" t="s">
        <v>33</v>
      </c>
      <c r="C14" s="63"/>
      <c r="D14" s="63"/>
      <c r="E14" s="63"/>
      <c r="F14" s="66">
        <v>668</v>
      </c>
      <c r="G14" s="70">
        <v>2495.06</v>
      </c>
    </row>
    <row r="15" spans="1:7" x14ac:dyDescent="0.25">
      <c r="A15" s="64">
        <v>230</v>
      </c>
      <c r="B15" s="65" t="s">
        <v>34</v>
      </c>
      <c r="C15" s="63"/>
      <c r="D15" s="63"/>
      <c r="E15" s="63"/>
      <c r="F15" s="66">
        <v>2</v>
      </c>
      <c r="G15" s="71">
        <v>27.98</v>
      </c>
    </row>
    <row r="16" spans="1:7" x14ac:dyDescent="0.25">
      <c r="A16" s="64">
        <v>235</v>
      </c>
      <c r="B16" s="65" t="s">
        <v>59</v>
      </c>
      <c r="C16" s="63"/>
      <c r="D16" s="63"/>
      <c r="E16" s="63"/>
      <c r="F16" s="66">
        <v>139</v>
      </c>
      <c r="G16" s="70">
        <v>1153.54</v>
      </c>
    </row>
    <row r="17" spans="1:7" x14ac:dyDescent="0.25">
      <c r="A17" s="64">
        <v>240</v>
      </c>
      <c r="B17" s="65" t="s">
        <v>35</v>
      </c>
      <c r="C17" s="63"/>
      <c r="D17" s="63"/>
      <c r="E17" s="63"/>
      <c r="F17" s="66">
        <v>225</v>
      </c>
      <c r="G17" s="67">
        <v>864.82</v>
      </c>
    </row>
    <row r="18" spans="1:7" x14ac:dyDescent="0.25">
      <c r="A18" s="64">
        <v>250</v>
      </c>
      <c r="B18" s="65" t="s">
        <v>36</v>
      </c>
      <c r="C18" s="63"/>
      <c r="D18" s="63"/>
      <c r="E18" s="63"/>
      <c r="F18" s="66">
        <v>192</v>
      </c>
      <c r="G18" s="70">
        <v>1100.28</v>
      </c>
    </row>
    <row r="19" spans="1:7" x14ac:dyDescent="0.25">
      <c r="A19" s="64">
        <v>310</v>
      </c>
      <c r="B19" s="65" t="s">
        <v>37</v>
      </c>
      <c r="C19" s="63"/>
      <c r="D19" s="63"/>
      <c r="E19" s="63"/>
      <c r="F19" s="66">
        <v>790</v>
      </c>
      <c r="G19" s="70">
        <v>4422.38</v>
      </c>
    </row>
    <row r="20" spans="1:7" x14ac:dyDescent="0.25">
      <c r="A20" s="64">
        <v>320</v>
      </c>
      <c r="B20" s="65" t="s">
        <v>38</v>
      </c>
      <c r="C20" s="63"/>
      <c r="D20" s="63"/>
      <c r="E20" s="63"/>
      <c r="F20" s="66">
        <v>556</v>
      </c>
      <c r="G20" s="70">
        <v>5716.01</v>
      </c>
    </row>
    <row r="21" spans="1:7" x14ac:dyDescent="0.25">
      <c r="A21" s="64">
        <v>330</v>
      </c>
      <c r="B21" s="65" t="s">
        <v>39</v>
      </c>
      <c r="C21" s="63"/>
      <c r="D21" s="63"/>
      <c r="E21" s="63"/>
      <c r="F21" s="66">
        <v>197</v>
      </c>
      <c r="G21" s="70">
        <v>1726.38</v>
      </c>
    </row>
    <row r="22" spans="1:7" x14ac:dyDescent="0.25">
      <c r="A22" s="64">
        <v>340</v>
      </c>
      <c r="B22" s="65" t="s">
        <v>40</v>
      </c>
      <c r="C22" s="63"/>
      <c r="D22" s="63"/>
      <c r="E22" s="63"/>
      <c r="F22" s="66">
        <v>117</v>
      </c>
      <c r="G22" s="70">
        <v>1844.32</v>
      </c>
    </row>
    <row r="23" spans="1:7" x14ac:dyDescent="0.25">
      <c r="A23" s="64">
        <v>350</v>
      </c>
      <c r="B23" s="65" t="s">
        <v>41</v>
      </c>
      <c r="C23" s="63"/>
      <c r="D23" s="63"/>
      <c r="E23" s="63"/>
      <c r="F23" s="66">
        <v>144</v>
      </c>
      <c r="G23" s="70">
        <v>1603.74</v>
      </c>
    </row>
    <row r="24" spans="1:7" x14ac:dyDescent="0.25">
      <c r="A24" s="64">
        <v>410</v>
      </c>
      <c r="B24" s="65" t="s">
        <v>42</v>
      </c>
      <c r="C24" s="63"/>
      <c r="D24" s="63"/>
      <c r="E24" s="63"/>
      <c r="F24" s="66">
        <v>3742</v>
      </c>
      <c r="G24" s="69">
        <v>13702.42</v>
      </c>
    </row>
    <row r="25" spans="1:7" x14ac:dyDescent="0.25">
      <c r="A25" s="64">
        <v>420</v>
      </c>
      <c r="B25" s="65" t="s">
        <v>43</v>
      </c>
      <c r="C25" s="63"/>
      <c r="D25" s="63"/>
      <c r="E25" s="63"/>
      <c r="F25" s="66">
        <v>236</v>
      </c>
      <c r="G25" s="70">
        <v>1661.27</v>
      </c>
    </row>
    <row r="26" spans="1:7" x14ac:dyDescent="0.25">
      <c r="A26" s="64">
        <v>510</v>
      </c>
      <c r="B26" s="65" t="s">
        <v>44</v>
      </c>
      <c r="C26" s="63"/>
      <c r="D26" s="63"/>
      <c r="E26" s="63"/>
      <c r="F26" s="66">
        <v>286</v>
      </c>
      <c r="G26" s="70">
        <v>2422.0700000000002</v>
      </c>
    </row>
    <row r="27" spans="1:7" x14ac:dyDescent="0.25">
      <c r="A27" s="64">
        <v>520</v>
      </c>
      <c r="B27" s="65" t="s">
        <v>45</v>
      </c>
      <c r="C27" s="63"/>
      <c r="D27" s="63"/>
      <c r="E27" s="63"/>
      <c r="F27" s="66">
        <v>368</v>
      </c>
      <c r="G27" s="70">
        <v>5440.46</v>
      </c>
    </row>
    <row r="28" spans="1:7" x14ac:dyDescent="0.25">
      <c r="A28" s="64">
        <v>550</v>
      </c>
      <c r="B28" s="65" t="s">
        <v>48</v>
      </c>
      <c r="C28" s="63"/>
      <c r="D28" s="63"/>
      <c r="E28" s="63"/>
      <c r="F28" s="66">
        <v>4</v>
      </c>
      <c r="G28" s="71">
        <v>44.92</v>
      </c>
    </row>
    <row r="29" spans="1:7" x14ac:dyDescent="0.25">
      <c r="A29" s="64">
        <v>1300</v>
      </c>
      <c r="B29" s="65" t="s">
        <v>51</v>
      </c>
      <c r="C29" s="63"/>
      <c r="D29" s="63"/>
      <c r="E29" s="63"/>
      <c r="F29" s="66">
        <v>13</v>
      </c>
      <c r="G29" s="71">
        <v>63.95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73">
        <v>110</v>
      </c>
      <c r="B1" s="74" t="s">
        <v>22</v>
      </c>
      <c r="C1" s="72"/>
      <c r="D1" s="72"/>
      <c r="E1" s="72"/>
      <c r="F1" s="75">
        <v>14</v>
      </c>
      <c r="G1" s="76">
        <v>6.21</v>
      </c>
    </row>
    <row r="2" spans="1:7" x14ac:dyDescent="0.25">
      <c r="A2" s="73">
        <v>120</v>
      </c>
      <c r="B2" s="74" t="s">
        <v>23</v>
      </c>
      <c r="C2" s="72"/>
      <c r="D2" s="72"/>
      <c r="E2" s="72"/>
      <c r="F2" s="75">
        <v>50</v>
      </c>
      <c r="G2" s="77">
        <v>26.73</v>
      </c>
    </row>
    <row r="3" spans="1:7" x14ac:dyDescent="0.25">
      <c r="A3" s="73">
        <v>140</v>
      </c>
      <c r="B3" s="74" t="s">
        <v>25</v>
      </c>
      <c r="C3" s="72"/>
      <c r="D3" s="72"/>
      <c r="E3" s="72"/>
      <c r="F3" s="76">
        <v>5.15</v>
      </c>
      <c r="G3" s="76">
        <v>0.4</v>
      </c>
    </row>
    <row r="4" spans="1:7" x14ac:dyDescent="0.25">
      <c r="A4" s="73">
        <v>142</v>
      </c>
      <c r="B4" s="74" t="s">
        <v>26</v>
      </c>
      <c r="C4" s="72"/>
      <c r="D4" s="72"/>
      <c r="E4" s="72"/>
      <c r="F4" s="75">
        <v>112</v>
      </c>
      <c r="G4" s="72"/>
    </row>
    <row r="5" spans="1:7" x14ac:dyDescent="0.25">
      <c r="A5" s="73">
        <v>150</v>
      </c>
      <c r="B5" s="74" t="s">
        <v>27</v>
      </c>
      <c r="C5" s="72"/>
      <c r="D5" s="72"/>
      <c r="E5" s="72"/>
      <c r="F5" s="75">
        <v>26</v>
      </c>
      <c r="G5" s="76">
        <v>9.91</v>
      </c>
    </row>
    <row r="6" spans="1:7" x14ac:dyDescent="0.25">
      <c r="A6" s="73">
        <v>160</v>
      </c>
      <c r="B6" s="74" t="s">
        <v>28</v>
      </c>
      <c r="C6" s="72"/>
      <c r="D6" s="72"/>
      <c r="E6" s="72"/>
      <c r="F6" s="75">
        <v>2</v>
      </c>
      <c r="G6" s="76">
        <v>2.2000000000000002</v>
      </c>
    </row>
    <row r="7" spans="1:7" x14ac:dyDescent="0.25">
      <c r="A7" s="73">
        <v>210</v>
      </c>
      <c r="B7" s="74" t="s">
        <v>32</v>
      </c>
      <c r="C7" s="72"/>
      <c r="D7" s="72"/>
      <c r="E7" s="72"/>
      <c r="F7" s="75">
        <v>22</v>
      </c>
      <c r="G7" s="72"/>
    </row>
    <row r="8" spans="1:7" x14ac:dyDescent="0.25">
      <c r="A8" s="73">
        <v>220</v>
      </c>
      <c r="B8" s="74" t="s">
        <v>33</v>
      </c>
      <c r="C8" s="72"/>
      <c r="D8" s="72"/>
      <c r="E8" s="72"/>
      <c r="F8" s="75">
        <v>2</v>
      </c>
      <c r="G8" s="76">
        <v>1.7</v>
      </c>
    </row>
    <row r="9" spans="1:7" x14ac:dyDescent="0.25">
      <c r="A9" s="73">
        <v>310</v>
      </c>
      <c r="B9" s="74" t="s">
        <v>37</v>
      </c>
      <c r="C9" s="72"/>
      <c r="D9" s="72"/>
      <c r="E9" s="72"/>
      <c r="F9" s="75">
        <v>5</v>
      </c>
      <c r="G9" s="76">
        <v>2.88</v>
      </c>
    </row>
    <row r="10" spans="1:7" x14ac:dyDescent="0.25">
      <c r="A10" s="73">
        <v>330</v>
      </c>
      <c r="B10" s="74" t="s">
        <v>39</v>
      </c>
      <c r="C10" s="72"/>
      <c r="D10" s="72"/>
      <c r="E10" s="72"/>
      <c r="F10" s="75">
        <v>1</v>
      </c>
      <c r="G10" s="76">
        <v>0.35</v>
      </c>
    </row>
    <row r="11" spans="1:7" x14ac:dyDescent="0.25">
      <c r="A11" s="73">
        <v>410</v>
      </c>
      <c r="B11" s="74" t="s">
        <v>42</v>
      </c>
      <c r="C11" s="72"/>
      <c r="D11" s="72"/>
      <c r="E11" s="72"/>
      <c r="F11" s="75">
        <v>4</v>
      </c>
      <c r="G11" s="76">
        <v>1.1000000000000001</v>
      </c>
    </row>
    <row r="12" spans="1:7" x14ac:dyDescent="0.25">
      <c r="A12" s="73">
        <v>420</v>
      </c>
      <c r="B12" s="74" t="s">
        <v>43</v>
      </c>
      <c r="C12" s="72"/>
      <c r="D12" s="72"/>
      <c r="E12" s="72"/>
      <c r="F12" s="75">
        <v>1</v>
      </c>
      <c r="G12" s="77">
        <v>17.5</v>
      </c>
    </row>
    <row r="13" spans="1:7" x14ac:dyDescent="0.25">
      <c r="A13" s="73">
        <v>510</v>
      </c>
      <c r="B13" s="74" t="s">
        <v>44</v>
      </c>
      <c r="C13" s="72"/>
      <c r="D13" s="72"/>
      <c r="E13" s="72"/>
      <c r="F13" s="75">
        <v>3</v>
      </c>
      <c r="G13" s="76">
        <v>3.22</v>
      </c>
    </row>
    <row r="14" spans="1:7" x14ac:dyDescent="0.25">
      <c r="A14" s="73">
        <v>520</v>
      </c>
      <c r="B14" s="74" t="s">
        <v>45</v>
      </c>
      <c r="C14" s="72"/>
      <c r="D14" s="72"/>
      <c r="E14" s="72"/>
      <c r="F14" s="75">
        <v>2</v>
      </c>
      <c r="G14" s="76">
        <v>1.65</v>
      </c>
    </row>
    <row r="15" spans="1:7" x14ac:dyDescent="0.25">
      <c r="A15" s="57"/>
      <c r="B15" s="58"/>
      <c r="C15" s="56"/>
      <c r="D15" s="56"/>
      <c r="E15" s="56"/>
      <c r="F15" s="59"/>
      <c r="G15" s="60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1"/>
      <c r="B9" s="61"/>
      <c r="C9" s="61"/>
      <c r="D9" s="61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1"/>
      <c r="B12" s="61"/>
      <c r="C12" s="61"/>
      <c r="D12" s="61"/>
      <c r="E12" s="61"/>
      <c r="F12" s="61"/>
      <c r="G12" s="61"/>
      <c r="H12" s="61"/>
    </row>
    <row r="13" spans="1:8" ht="15" customHeight="1" x14ac:dyDescent="0.25">
      <c r="A13" s="61"/>
      <c r="B13" s="61"/>
      <c r="C13" s="61"/>
      <c r="D13" s="61"/>
      <c r="E13" s="61"/>
      <c r="F13" s="22"/>
      <c r="G13" s="25"/>
    </row>
    <row r="14" spans="1:8" x14ac:dyDescent="0.25">
      <c r="A14" s="22"/>
    </row>
    <row r="15" spans="1:8" x14ac:dyDescent="0.25">
      <c r="A15" s="61"/>
      <c r="B15" s="61"/>
      <c r="C15" s="61"/>
      <c r="D15" s="61"/>
      <c r="E15" s="61"/>
      <c r="F15" s="61"/>
      <c r="G15" s="61"/>
      <c r="H15" s="61"/>
    </row>
    <row r="16" spans="1:8" ht="15" customHeight="1" x14ac:dyDescent="0.25">
      <c r="A16" s="61"/>
      <c r="B16" s="61"/>
      <c r="C16" s="61"/>
      <c r="D16" s="61"/>
      <c r="E16" s="61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1"/>
      <c r="B544" s="61"/>
      <c r="C544" s="61"/>
      <c r="D544" s="61"/>
      <c r="E544" s="61"/>
      <c r="F544" s="61"/>
      <c r="G544" s="61"/>
      <c r="H544" s="61"/>
    </row>
    <row r="545" spans="1:8" ht="15" customHeight="1" x14ac:dyDescent="0.25">
      <c r="A545" s="61"/>
      <c r="B545" s="61"/>
      <c r="C545" s="61"/>
      <c r="D545" s="61"/>
      <c r="E545" s="61"/>
      <c r="F545" s="22"/>
      <c r="G545" s="25"/>
    </row>
    <row r="546" spans="1:8" x14ac:dyDescent="0.25">
      <c r="A546" s="22"/>
    </row>
    <row r="547" spans="1:8" x14ac:dyDescent="0.25">
      <c r="A547" s="61"/>
      <c r="B547" s="61"/>
      <c r="C547" s="61"/>
      <c r="D547" s="61"/>
      <c r="E547" s="61"/>
      <c r="F547" s="61"/>
      <c r="G547" s="61"/>
      <c r="H547" s="61"/>
    </row>
    <row r="548" spans="1:8" ht="15" customHeight="1" x14ac:dyDescent="0.25">
      <c r="A548" s="61"/>
      <c r="B548" s="61"/>
      <c r="C548" s="61"/>
      <c r="D548" s="61"/>
      <c r="E548" s="61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1"/>
      <c r="B729" s="61"/>
      <c r="C729" s="61"/>
      <c r="D729" s="61"/>
      <c r="E729" s="61"/>
      <c r="F729" s="61"/>
      <c r="G729" s="61"/>
      <c r="H729" s="61"/>
    </row>
    <row r="730" spans="1:8" ht="15" customHeight="1" x14ac:dyDescent="0.25">
      <c r="A730" s="61"/>
      <c r="B730" s="61"/>
      <c r="C730" s="61"/>
      <c r="D730" s="61"/>
      <c r="E730" s="61"/>
      <c r="F730" s="22"/>
      <c r="G730" s="25"/>
    </row>
    <row r="731" spans="1:8" x14ac:dyDescent="0.25">
      <c r="A731" s="22"/>
    </row>
    <row r="732" spans="1:8" x14ac:dyDescent="0.25">
      <c r="A732" s="61"/>
      <c r="B732" s="61"/>
      <c r="C732" s="61"/>
      <c r="D732" s="61"/>
      <c r="E732" s="61"/>
      <c r="F732" s="61"/>
      <c r="G732" s="61"/>
      <c r="H732" s="61"/>
    </row>
    <row r="733" spans="1:8" ht="15" customHeight="1" x14ac:dyDescent="0.25">
      <c r="A733" s="61"/>
      <c r="B733" s="61"/>
      <c r="C733" s="61"/>
      <c r="D733" s="61"/>
      <c r="E733" s="61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N39" sqref="N39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2" t="s">
        <v>0</v>
      </c>
      <c r="B1" s="62"/>
      <c r="C1" s="62"/>
      <c r="D1" s="62"/>
      <c r="E1" s="62"/>
      <c r="F1" s="62"/>
      <c r="G1" s="62"/>
      <c r="I1" s="17" t="s">
        <v>54</v>
      </c>
      <c r="J1" s="18">
        <f>G10</f>
        <v>-494</v>
      </c>
      <c r="L1" s="39" t="s">
        <v>88</v>
      </c>
      <c r="M1" s="40">
        <f>28+16+6+8</f>
        <v>58</v>
      </c>
      <c r="O1" s="45" t="s">
        <v>7</v>
      </c>
      <c r="P1" s="46"/>
    </row>
    <row r="2" spans="1:16" ht="18.75" x14ac:dyDescent="0.4">
      <c r="A2" s="62"/>
      <c r="B2" s="62"/>
      <c r="C2" s="62"/>
      <c r="D2" s="62"/>
      <c r="E2" s="62"/>
      <c r="F2" s="62"/>
      <c r="G2" s="62"/>
      <c r="I2" s="13" t="s">
        <v>60</v>
      </c>
      <c r="J2" s="14">
        <f>D54*-1</f>
        <v>-73.850000000000023</v>
      </c>
      <c r="L2" s="41" t="s">
        <v>61</v>
      </c>
      <c r="M2" s="39">
        <f>J1+M1</f>
        <v>-436</v>
      </c>
      <c r="O2" s="45" t="s">
        <v>91</v>
      </c>
      <c r="P2" s="46"/>
    </row>
    <row r="3" spans="1:16" ht="18.75" x14ac:dyDescent="0.4">
      <c r="A3" s="62"/>
      <c r="B3" s="62"/>
      <c r="C3" s="62"/>
      <c r="D3" s="62"/>
      <c r="E3" s="62"/>
      <c r="F3" s="62"/>
      <c r="G3" s="62"/>
      <c r="I3" s="15" t="s">
        <v>53</v>
      </c>
      <c r="J3" s="16">
        <f>G54+J1+J2</f>
        <v>93682.53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-494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8">
        <f>C10+D10</f>
        <v>-494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6.2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8">
        <f t="shared" si="0"/>
        <v>6.2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3.3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8">
        <v>7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14416.45</v>
      </c>
      <c r="D22" s="3">
        <f>IFERROR(INDEX('SubDept Coupon (Local Discount)'!G$1:G$100,MATCH('SubDept Sales Report'!A22,'SubDept Coupon (Local Discount)'!A$1:A$100,0)),0)</f>
        <v>6.21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8">
        <f t="shared" si="0"/>
        <v>14422.66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9576.7900000000009</v>
      </c>
      <c r="D23" s="3">
        <f>IFERROR(INDEX('SubDept Coupon (Local Discount)'!G$1:G$100,MATCH('SubDept Sales Report'!A23,'SubDept Coupon (Local Discount)'!A$1:A$100,0)),0)</f>
        <v>26.73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8">
        <f t="shared" si="0"/>
        <v>9603.52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2449.83</v>
      </c>
      <c r="D24" s="3">
        <f>IFERROR(INDEX('SubDept Coupon (Local Discount)'!G$1:G$100,MATCH('SubDept Sales Report'!A24,'SubDept Coupon (Local Discount)'!A$1:A$100,0)),0)</f>
        <v>0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8">
        <f t="shared" si="0"/>
        <v>2449.83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8406.52</v>
      </c>
      <c r="D25" s="3">
        <f>IFERROR(INDEX('SubDept Coupon (Local Discount)'!G$1:G$100,MATCH('SubDept Sales Report'!A25,'SubDept Coupon (Local Discount)'!A$1:A$100,0)),0)</f>
        <v>0.4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8">
        <f t="shared" si="0"/>
        <v>8406.92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798.85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8">
        <f t="shared" si="0"/>
        <v>798.85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1933.28</v>
      </c>
      <c r="D27" s="3">
        <f>IFERROR(INDEX('SubDept Coupon (Local Discount)'!G$1:G$100,MATCH('SubDept Sales Report'!A27,'SubDept Coupon (Local Discount)'!A$1:A$100,0)),0)</f>
        <v>9.91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8">
        <f t="shared" si="0"/>
        <v>1943.19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906.65</v>
      </c>
      <c r="D28" s="3">
        <f>IFERROR(INDEX('SubDept Coupon (Local Discount)'!G$1:G$100,MATCH('SubDept Sales Report'!A28,'SubDept Coupon (Local Discount)'!A$1:A$100,0)),0)</f>
        <v>2.2000000000000002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8">
        <f t="shared" si="0"/>
        <v>908.85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308.3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8">
        <f t="shared" si="0"/>
        <v>308.3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837.46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8">
        <f t="shared" si="0"/>
        <v>837.46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10239.6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8">
        <f t="shared" si="0"/>
        <v>10239.6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2495.06</v>
      </c>
      <c r="D33" s="3">
        <f>IFERROR(INDEX('SubDept Coupon (Local Discount)'!G$1:G$100,MATCH('SubDept Sales Report'!A33,'SubDept Coupon (Local Discount)'!A$1:A$100,0)),0)</f>
        <v>1.7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8">
        <f t="shared" si="0"/>
        <v>2496.7599999999998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27.98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8">
        <f>C34+D34</f>
        <v>27.98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1153.54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8">
        <f t="shared" si="0"/>
        <v>1153.54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864.82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8">
        <f t="shared" si="0"/>
        <v>864.82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1100.28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8">
        <f t="shared" si="0"/>
        <v>1100.28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4422.38</v>
      </c>
      <c r="D39" s="3">
        <f>IFERROR(INDEX('SubDept Coupon (Local Discount)'!G$1:G$100,MATCH('SubDept Sales Report'!A39,'SubDept Coupon (Local Discount)'!A$1:A$100,0)),0)</f>
        <v>2.88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8">
        <f t="shared" si="0"/>
        <v>4425.26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5716.01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8">
        <f t="shared" si="0"/>
        <v>5716.01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1726.38</v>
      </c>
      <c r="D41" s="3">
        <f>IFERROR(INDEX('SubDept Coupon (Local Discount)'!G$1:G$100,MATCH('SubDept Sales Report'!A41,'SubDept Coupon (Local Discount)'!A$1:A$100,0)),0)</f>
        <v>0.35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8">
        <f t="shared" si="0"/>
        <v>1726.73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1844.32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8">
        <f t="shared" si="0"/>
        <v>1844.32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1603.74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8">
        <f t="shared" si="0"/>
        <v>1603.74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13702.42</v>
      </c>
      <c r="D44" s="3">
        <f>IFERROR(INDEX('SubDept Coupon (Local Discount)'!G$1:G$100,MATCH('SubDept Sales Report'!A44,'SubDept Coupon (Local Discount)'!A$1:A$100,0)),0)</f>
        <v>1.1000000000000001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8">
        <f t="shared" si="0"/>
        <v>13703.52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1661.27</v>
      </c>
      <c r="D45" s="3">
        <f>IFERROR(INDEX('SubDept Coupon (Local Discount)'!G$1:G$100,MATCH('SubDept Sales Report'!A45,'SubDept Coupon (Local Discount)'!A$1:A$100,0)),0)</f>
        <v>17.5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8">
        <f t="shared" si="0"/>
        <v>1678.77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2422.0700000000002</v>
      </c>
      <c r="D46" s="3">
        <f>IFERROR(INDEX('SubDept Coupon (Local Discount)'!G$1:G$100,MATCH('SubDept Sales Report'!A46,'SubDept Coupon (Local Discount)'!A$1:A$100,0)),0)</f>
        <v>3.22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8">
        <f t="shared" si="0"/>
        <v>2425.29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5440.46</v>
      </c>
      <c r="D47" s="3">
        <f>IFERROR(INDEX('SubDept Coupon (Local Discount)'!G$1:G$100,MATCH('SubDept Sales Report'!A47,'SubDept Coupon (Local Discount)'!A$1:A$100,0)),0)</f>
        <v>1.65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8">
        <f t="shared" si="0"/>
        <v>5442.11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44.92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8">
        <f t="shared" si="0"/>
        <v>44.92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63.95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8">
        <f t="shared" si="0"/>
        <v>63.95</v>
      </c>
      <c r="I53" s="12"/>
      <c r="J53" s="3"/>
      <c r="K53" s="3"/>
    </row>
    <row r="54" spans="1:11" x14ac:dyDescent="0.25">
      <c r="B54" s="19" t="s">
        <v>52</v>
      </c>
      <c r="C54" s="3">
        <f>SUM(C5:C53)</f>
        <v>93678.830000000016</v>
      </c>
      <c r="D54" s="11">
        <f>SUM(D5:D53)</f>
        <v>73.850000000000023</v>
      </c>
      <c r="E54" s="11">
        <f>SUM(E5:E53)</f>
        <v>0</v>
      </c>
      <c r="F54" s="11">
        <f>SUM(F5:F53)</f>
        <v>0</v>
      </c>
      <c r="G54" s="38">
        <f>SUM(G11:G53,G9,G8,G7,G6,G5)</f>
        <v>94250.38</v>
      </c>
      <c r="I54" s="12"/>
      <c r="J54" s="3"/>
      <c r="K54" s="3"/>
    </row>
  </sheetData>
  <autoFilter ref="A4:G54" xr:uid="{459199FD-0CD3-4C93-B98C-3BA614742282}">
    <filterColumn colId="6">
      <filters>
        <filter val="$(494.00)"/>
        <filter val="$1,100.28"/>
        <filter val="$1,153.54"/>
        <filter val="$1,603.74"/>
        <filter val="$1,678.77"/>
        <filter val="$1,726.73"/>
        <filter val="$1,844.32"/>
        <filter val="$1,943.19"/>
        <filter val="$10,239.60"/>
        <filter val="$13,703.52"/>
        <filter val="$14,422.66"/>
        <filter val="$2,425.29"/>
        <filter val="$2,449.83"/>
        <filter val="$2,496.76"/>
        <filter val="$27.98"/>
        <filter val="$3.30"/>
        <filter val="$308.30"/>
        <filter val="$4,425.26"/>
        <filter val="$44.92"/>
        <filter val="$5,442.11"/>
        <filter val="$5,716.01"/>
        <filter val="$6.20"/>
        <filter val="$63.95"/>
        <filter val="$798.85"/>
        <filter val="$8,406.92"/>
        <filter val="$837.46"/>
        <filter val="$864.82"/>
        <filter val="$9,603.52"/>
        <filter val="$908.85"/>
        <filter val="$94,246.68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2026-07-17T15:05:29Z</dcterms:modified>
</cp:coreProperties>
</file>