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4F72ED53-AEE9-4066-A245-D302D9619918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r:id="rId5"/>
    <sheet name="SubDept Coupon (Local Discount)" sheetId="3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20" i="1"/>
  <c r="G53" i="1"/>
  <c r="G54" i="1"/>
  <c r="G30" i="1"/>
  <c r="G31" i="1"/>
  <c r="G32" i="1"/>
  <c r="G33" i="1"/>
  <c r="G35" i="1"/>
  <c r="G36" i="1"/>
  <c r="G37" i="1"/>
  <c r="G39" i="1"/>
  <c r="G40" i="1"/>
  <c r="G41" i="1"/>
  <c r="G42" i="1"/>
  <c r="G43" i="1"/>
  <c r="G44" i="1"/>
  <c r="G45" i="1"/>
  <c r="G46" i="1"/>
  <c r="G47" i="1"/>
  <c r="G50" i="1"/>
  <c r="G51" i="1"/>
  <c r="G23" i="1"/>
  <c r="G24" i="1"/>
  <c r="G25" i="1"/>
  <c r="G26" i="1"/>
  <c r="G27" i="1"/>
  <c r="G28" i="1"/>
  <c r="M1" i="1"/>
  <c r="P4" i="1"/>
  <c r="F35" i="1"/>
  <c r="E35" i="1"/>
  <c r="D35" i="1"/>
  <c r="C35" i="1"/>
  <c r="D38" i="1"/>
  <c r="C38" i="1"/>
  <c r="F53" i="1" l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52" i="1"/>
  <c r="G19" i="1"/>
  <c r="G13" i="1"/>
  <c r="G21" i="1"/>
  <c r="G29" i="1"/>
  <c r="G7" i="1"/>
  <c r="G15" i="1"/>
  <c r="G49" i="1"/>
  <c r="G9" i="1"/>
  <c r="G17" i="1"/>
  <c r="G18" i="1"/>
  <c r="G12" i="1"/>
  <c r="G6" i="1"/>
  <c r="G14" i="1"/>
  <c r="G22" i="1"/>
  <c r="G48" i="1"/>
  <c r="G8" i="1"/>
  <c r="G16" i="1"/>
  <c r="G5" i="1"/>
  <c r="F54" i="1"/>
  <c r="E54" i="1"/>
  <c r="G38" i="1" l="1"/>
  <c r="J1" i="1"/>
  <c r="M2" i="1" s="1"/>
  <c r="D54" i="1" l="1"/>
  <c r="J2" i="1" s="1"/>
  <c r="J3" i="1" l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<sst xmlns="http://schemas.openxmlformats.org/spreadsheetml/2006/main" count="137" uniqueCount="92">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</sst>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7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19" fillId="0" borderId="0" xfId="10" applyNumberFormat="1"/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44" fontId="2" fillId="2" borderId="0" xfId="0" applyNumberFormat="1" applyFont="1" applyFill="1" applyAlignment="1">
      <alignment horizontal="left" vertical="center"/>
    </xf>
    <xf numFmtId="44" fontId="1" fillId="0" borderId="1" xfId="0" applyNumberFormat="1" applyFont="1" applyBorder="1"/>
    <xf numFmtId="44" fontId="0" fillId="0" borderId="0" xfId="3" applyNumberFormat="1" applyFont="1"/>
    <xf numFmtId="44" fontId="0" fillId="0" borderId="2" xfId="3" applyNumberFormat="1" applyFont="1" applyBorder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F6F5DCF6-57CD-4F31-BD47-32340914948C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6">
        <v>27</v>
      </c>
      <c r="B1" s="57" t="s">
        <v>11</v>
      </c>
      <c r="C1" s="55"/>
      <c r="D1" s="55"/>
      <c r="E1" s="55"/>
      <c r="F1" s="55"/>
      <c r="G1" s="58">
        <v>-425</v>
      </c>
    </row>
    <row r="2" spans="1:7" x14ac:dyDescent="0.25">
      <c r="A2" s="56">
        <v>28</v>
      </c>
      <c r="B2" s="57" t="s">
        <v>12</v>
      </c>
      <c r="C2" s="55"/>
      <c r="D2" s="55"/>
      <c r="E2" s="55"/>
      <c r="F2" s="59">
        <v>83</v>
      </c>
      <c r="G2" s="60">
        <v>8.3000000000000007</v>
      </c>
    </row>
    <row r="3" spans="1:7" x14ac:dyDescent="0.25">
      <c r="A3" s="56">
        <v>38</v>
      </c>
      <c r="B3" s="57" t="s">
        <v>55</v>
      </c>
      <c r="C3" s="55"/>
      <c r="D3" s="55"/>
      <c r="E3" s="55"/>
      <c r="F3" s="59">
        <v>89</v>
      </c>
      <c r="G3" s="61">
        <v>4.45</v>
      </c>
    </row>
    <row r="4" spans="1:7" x14ac:dyDescent="0.25">
      <c r="A4" s="56">
        <v>110</v>
      </c>
      <c r="B4" s="57" t="s">
        <v>22</v>
      </c>
      <c r="C4" s="55"/>
      <c r="D4" s="55"/>
      <c r="E4" s="55"/>
      <c r="F4" s="59">
        <v>3085</v>
      </c>
      <c r="G4" s="62">
        <v>14094.27</v>
      </c>
    </row>
    <row r="5" spans="1:7" x14ac:dyDescent="0.25">
      <c r="A5" s="56">
        <v>120</v>
      </c>
      <c r="B5" s="57" t="s">
        <v>23</v>
      </c>
      <c r="C5" s="55"/>
      <c r="D5" s="55"/>
      <c r="E5" s="55"/>
      <c r="F5" s="59">
        <v>1983</v>
      </c>
      <c r="G5" s="62">
        <v>9952.6200000000008</v>
      </c>
    </row>
    <row r="6" spans="1:7" x14ac:dyDescent="0.25">
      <c r="A6" s="56">
        <v>130</v>
      </c>
      <c r="B6" s="57" t="s">
        <v>24</v>
      </c>
      <c r="C6" s="55"/>
      <c r="D6" s="55"/>
      <c r="E6" s="55"/>
      <c r="F6" s="59">
        <v>436</v>
      </c>
      <c r="G6" s="63">
        <v>3170.95</v>
      </c>
    </row>
    <row r="7" spans="1:7" x14ac:dyDescent="0.25">
      <c r="A7" s="56">
        <v>140</v>
      </c>
      <c r="B7" s="57" t="s">
        <v>25</v>
      </c>
      <c r="C7" s="55"/>
      <c r="D7" s="55"/>
      <c r="E7" s="55"/>
      <c r="F7" s="59">
        <v>1254</v>
      </c>
      <c r="G7" s="63">
        <v>8804.98</v>
      </c>
    </row>
    <row r="8" spans="1:7" x14ac:dyDescent="0.25">
      <c r="A8" s="56">
        <v>142</v>
      </c>
      <c r="B8" s="57" t="s">
        <v>26</v>
      </c>
      <c r="C8" s="55"/>
      <c r="D8" s="55"/>
      <c r="E8" s="55"/>
      <c r="F8" s="59">
        <v>127</v>
      </c>
      <c r="G8" s="58">
        <v>712.26</v>
      </c>
    </row>
    <row r="9" spans="1:7" x14ac:dyDescent="0.25">
      <c r="A9" s="56">
        <v>150</v>
      </c>
      <c r="B9" s="57" t="s">
        <v>27</v>
      </c>
      <c r="C9" s="55"/>
      <c r="D9" s="55"/>
      <c r="E9" s="55"/>
      <c r="F9" s="59">
        <v>395</v>
      </c>
      <c r="G9" s="63">
        <v>2259.67</v>
      </c>
    </row>
    <row r="10" spans="1:7" x14ac:dyDescent="0.25">
      <c r="A10" s="56">
        <v>160</v>
      </c>
      <c r="B10" s="57" t="s">
        <v>28</v>
      </c>
      <c r="C10" s="55"/>
      <c r="D10" s="55"/>
      <c r="E10" s="55"/>
      <c r="F10" s="59">
        <v>93</v>
      </c>
      <c r="G10" s="58">
        <v>974.38</v>
      </c>
    </row>
    <row r="11" spans="1:7" x14ac:dyDescent="0.25">
      <c r="A11" s="56">
        <v>180</v>
      </c>
      <c r="B11" s="57" t="s">
        <v>30</v>
      </c>
      <c r="C11" s="55"/>
      <c r="D11" s="55"/>
      <c r="E11" s="55"/>
      <c r="F11" s="59">
        <v>153</v>
      </c>
      <c r="G11" s="58">
        <v>521.07000000000005</v>
      </c>
    </row>
    <row r="12" spans="1:7" x14ac:dyDescent="0.25">
      <c r="A12" s="56">
        <v>190</v>
      </c>
      <c r="B12" s="57" t="s">
        <v>31</v>
      </c>
      <c r="C12" s="55"/>
      <c r="D12" s="55"/>
      <c r="E12" s="55"/>
      <c r="F12" s="59">
        <v>104</v>
      </c>
      <c r="G12" s="58">
        <v>697.06</v>
      </c>
    </row>
    <row r="13" spans="1:7" x14ac:dyDescent="0.25">
      <c r="A13" s="56">
        <v>210</v>
      </c>
      <c r="B13" s="57" t="s">
        <v>32</v>
      </c>
      <c r="C13" s="55"/>
      <c r="D13" s="55"/>
      <c r="E13" s="55"/>
      <c r="F13" s="59">
        <v>1096</v>
      </c>
      <c r="G13" s="63">
        <v>9497.0499999999993</v>
      </c>
    </row>
    <row r="14" spans="1:7" x14ac:dyDescent="0.25">
      <c r="A14" s="56">
        <v>220</v>
      </c>
      <c r="B14" s="57" t="s">
        <v>33</v>
      </c>
      <c r="C14" s="55"/>
      <c r="D14" s="55"/>
      <c r="E14" s="55"/>
      <c r="F14" s="59">
        <v>717</v>
      </c>
      <c r="G14" s="63">
        <v>2590.87</v>
      </c>
    </row>
    <row r="15" spans="1:7" x14ac:dyDescent="0.25">
      <c r="A15" s="56">
        <v>235</v>
      </c>
      <c r="B15" s="57" t="s">
        <v>59</v>
      </c>
      <c r="C15" s="55"/>
      <c r="D15" s="55"/>
      <c r="E15" s="55"/>
      <c r="F15" s="59">
        <v>38</v>
      </c>
      <c r="G15" s="60">
        <v>473.62</v>
      </c>
    </row>
    <row r="16" spans="1:7" x14ac:dyDescent="0.25">
      <c r="A16" s="56">
        <v>240</v>
      </c>
      <c r="B16" s="57" t="s">
        <v>35</v>
      </c>
      <c r="C16" s="55"/>
      <c r="D16" s="55"/>
      <c r="E16" s="55"/>
      <c r="F16" s="59">
        <v>212</v>
      </c>
      <c r="G16" s="58">
        <v>782.17</v>
      </c>
    </row>
    <row r="17" spans="1:7" x14ac:dyDescent="0.25">
      <c r="A17" s="56">
        <v>250</v>
      </c>
      <c r="B17" s="57" t="s">
        <v>36</v>
      </c>
      <c r="C17" s="55"/>
      <c r="D17" s="55"/>
      <c r="E17" s="55"/>
      <c r="F17" s="59">
        <v>118</v>
      </c>
      <c r="G17" s="58">
        <v>690.22</v>
      </c>
    </row>
    <row r="18" spans="1:7" x14ac:dyDescent="0.25">
      <c r="A18" s="56">
        <v>310</v>
      </c>
      <c r="B18" s="57" t="s">
        <v>37</v>
      </c>
      <c r="C18" s="55"/>
      <c r="D18" s="55"/>
      <c r="E18" s="55"/>
      <c r="F18" s="55">
        <v>835</v>
      </c>
      <c r="G18" s="66">
        <v>4761.33</v>
      </c>
    </row>
    <row r="19" spans="1:7" x14ac:dyDescent="0.25">
      <c r="A19" s="56">
        <v>320</v>
      </c>
      <c r="B19" s="57" t="s">
        <v>38</v>
      </c>
      <c r="C19" s="55"/>
      <c r="D19" s="55"/>
      <c r="E19" s="55"/>
      <c r="F19" s="59">
        <v>741</v>
      </c>
      <c r="G19" s="63">
        <v>7630.24</v>
      </c>
    </row>
    <row r="20" spans="1:7" x14ac:dyDescent="0.25">
      <c r="A20" s="56">
        <v>330</v>
      </c>
      <c r="B20" s="57" t="s">
        <v>39</v>
      </c>
      <c r="C20" s="55"/>
      <c r="D20" s="55"/>
      <c r="E20" s="55"/>
      <c r="F20" s="59">
        <v>204</v>
      </c>
      <c r="G20" s="63">
        <v>1875.54</v>
      </c>
    </row>
    <row r="21" spans="1:7" x14ac:dyDescent="0.25">
      <c r="A21" s="56">
        <v>340</v>
      </c>
      <c r="B21" s="57" t="s">
        <v>40</v>
      </c>
      <c r="C21" s="55"/>
      <c r="D21" s="55"/>
      <c r="E21" s="55"/>
      <c r="F21" s="59">
        <v>132</v>
      </c>
      <c r="G21" s="63">
        <v>1954.11</v>
      </c>
    </row>
    <row r="22" spans="1:7" x14ac:dyDescent="0.25">
      <c r="A22" s="56">
        <v>350</v>
      </c>
      <c r="B22" s="57" t="s">
        <v>41</v>
      </c>
      <c r="C22" s="55"/>
      <c r="D22" s="55"/>
      <c r="E22" s="55"/>
      <c r="F22" s="59">
        <v>145</v>
      </c>
      <c r="G22" s="63">
        <v>1404.43</v>
      </c>
    </row>
    <row r="23" spans="1:7" x14ac:dyDescent="0.25">
      <c r="A23" s="56">
        <v>410</v>
      </c>
      <c r="B23" s="57" t="s">
        <v>42</v>
      </c>
      <c r="C23" s="55"/>
      <c r="D23" s="55"/>
      <c r="E23" s="55"/>
      <c r="F23" s="59">
        <v>4064</v>
      </c>
      <c r="G23" s="63">
        <v>14130.51</v>
      </c>
    </row>
    <row r="24" spans="1:7" x14ac:dyDescent="0.25">
      <c r="A24" s="56">
        <v>420</v>
      </c>
      <c r="B24" s="57" t="s">
        <v>43</v>
      </c>
      <c r="C24" s="55"/>
      <c r="D24" s="55"/>
      <c r="E24" s="55"/>
      <c r="F24" s="59">
        <v>366</v>
      </c>
      <c r="G24" s="62">
        <v>2515.5300000000002</v>
      </c>
    </row>
    <row r="25" spans="1:7" x14ac:dyDescent="0.25">
      <c r="A25" s="56">
        <v>510</v>
      </c>
      <c r="B25" s="57" t="s">
        <v>44</v>
      </c>
      <c r="C25" s="55"/>
      <c r="D25" s="55"/>
      <c r="E25" s="55"/>
      <c r="F25" s="59">
        <v>307</v>
      </c>
      <c r="G25" s="63">
        <v>2694.5</v>
      </c>
    </row>
    <row r="26" spans="1:7" x14ac:dyDescent="0.25">
      <c r="A26" s="56">
        <v>520</v>
      </c>
      <c r="B26" s="57" t="s">
        <v>45</v>
      </c>
      <c r="C26" s="55"/>
      <c r="D26" s="55"/>
      <c r="E26" s="55"/>
      <c r="F26" s="59">
        <v>348</v>
      </c>
      <c r="G26" s="63">
        <v>5276.05</v>
      </c>
    </row>
    <row r="27" spans="1:7" x14ac:dyDescent="0.25">
      <c r="A27" s="56">
        <v>550</v>
      </c>
      <c r="B27" s="57" t="s">
        <v>48</v>
      </c>
      <c r="C27" s="55"/>
      <c r="D27" s="55"/>
      <c r="E27" s="55"/>
      <c r="F27" s="59">
        <v>3</v>
      </c>
      <c r="G27" s="63">
        <v>24.89</v>
      </c>
    </row>
    <row r="28" spans="1:7" x14ac:dyDescent="0.25">
      <c r="A28" s="56">
        <v>560</v>
      </c>
      <c r="B28" s="57" t="s">
        <v>49</v>
      </c>
      <c r="C28" s="55"/>
      <c r="D28" s="55"/>
      <c r="E28" s="55"/>
      <c r="F28" s="59">
        <v>2</v>
      </c>
      <c r="G28" s="60">
        <v>16.28</v>
      </c>
    </row>
    <row r="29" spans="1:7" x14ac:dyDescent="0.25">
      <c r="A29" s="56">
        <v>1300</v>
      </c>
      <c r="B29" s="57" t="s">
        <v>51</v>
      </c>
      <c r="C29" s="55"/>
      <c r="D29" s="55"/>
      <c r="E29" s="55"/>
      <c r="F29" s="59">
        <v>19</v>
      </c>
      <c r="G29" s="60">
        <v>152.86000000000001</v>
      </c>
    </row>
    <row r="30" spans="1:7" x14ac:dyDescent="0.25">
      <c r="A30" s="49"/>
      <c r="B30" s="50"/>
      <c r="C30" s="48"/>
      <c r="D30" s="48"/>
      <c r="E30" s="48"/>
      <c r="F30" s="51"/>
      <c r="G30" s="53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D15" sqref="D15"/>
    </sheetView>
  </sheetViews>
  <sheetFormatPr defaultRowHeight="15" x14ac:dyDescent="0.25"/>
  <sheetData>
    <row r="1" spans="1:7" x14ac:dyDescent="0.25">
      <c r="A1" s="68">
        <v>110</v>
      </c>
      <c r="B1" s="69" t="s">
        <v>22</v>
      </c>
      <c r="C1" s="67"/>
      <c r="D1" s="67"/>
      <c r="E1" s="67"/>
      <c r="F1" s="70">
        <v>26</v>
      </c>
      <c r="G1" s="71">
        <v>8.19</v>
      </c>
    </row>
    <row r="2" spans="1:7" x14ac:dyDescent="0.25">
      <c r="A2" s="68">
        <v>120</v>
      </c>
      <c r="B2" s="69" t="s">
        <v>23</v>
      </c>
      <c r="C2" s="67"/>
      <c r="D2" s="67"/>
      <c r="E2" s="67"/>
      <c r="F2" s="70">
        <v>46</v>
      </c>
      <c r="G2" s="72">
        <v>21.59</v>
      </c>
    </row>
    <row r="3" spans="1:7" x14ac:dyDescent="0.25">
      <c r="A3" s="68">
        <v>130</v>
      </c>
      <c r="B3" s="69" t="s">
        <v>24</v>
      </c>
      <c r="C3" s="67"/>
      <c r="D3" s="67"/>
      <c r="E3" s="67"/>
      <c r="F3" s="70">
        <v>2</v>
      </c>
      <c r="G3" s="71">
        <v>1.27</v>
      </c>
    </row>
    <row r="4" spans="1:7" x14ac:dyDescent="0.25">
      <c r="A4" s="68">
        <v>140</v>
      </c>
      <c r="B4" s="69" t="s">
        <v>25</v>
      </c>
      <c r="C4" s="67"/>
      <c r="D4" s="67"/>
      <c r="E4" s="67"/>
      <c r="F4" s="70">
        <v>1</v>
      </c>
      <c r="G4" s="71">
        <v>0.82</v>
      </c>
    </row>
    <row r="5" spans="1:7" x14ac:dyDescent="0.25">
      <c r="A5" s="68">
        <v>142</v>
      </c>
      <c r="B5" s="69" t="s">
        <v>26</v>
      </c>
      <c r="C5" s="67"/>
      <c r="D5" s="67"/>
      <c r="E5" s="67"/>
      <c r="F5" s="70">
        <v>100</v>
      </c>
      <c r="G5" s="67"/>
    </row>
    <row r="6" spans="1:7" x14ac:dyDescent="0.25">
      <c r="A6" s="68">
        <v>150</v>
      </c>
      <c r="B6" s="69" t="s">
        <v>27</v>
      </c>
      <c r="C6" s="67"/>
      <c r="D6" s="67"/>
      <c r="E6" s="67"/>
      <c r="F6" s="70">
        <v>40</v>
      </c>
      <c r="G6" s="72">
        <v>15.66</v>
      </c>
    </row>
    <row r="7" spans="1:7" x14ac:dyDescent="0.25">
      <c r="A7" s="68">
        <v>160</v>
      </c>
      <c r="B7" s="69" t="s">
        <v>28</v>
      </c>
      <c r="C7" s="67"/>
      <c r="D7" s="67"/>
      <c r="E7" s="67"/>
      <c r="F7" s="70">
        <v>9</v>
      </c>
      <c r="G7" s="71">
        <v>7.49</v>
      </c>
    </row>
    <row r="8" spans="1:7" x14ac:dyDescent="0.25">
      <c r="A8" s="68">
        <v>210</v>
      </c>
      <c r="B8" s="69" t="s">
        <v>32</v>
      </c>
      <c r="C8" s="67"/>
      <c r="D8" s="67"/>
      <c r="E8" s="67"/>
      <c r="F8" s="70">
        <v>35</v>
      </c>
      <c r="G8" s="67"/>
    </row>
    <row r="9" spans="1:7" x14ac:dyDescent="0.25">
      <c r="A9" s="68">
        <v>220</v>
      </c>
      <c r="B9" s="69" t="s">
        <v>33</v>
      </c>
      <c r="C9" s="67"/>
      <c r="D9" s="67"/>
      <c r="E9" s="67"/>
      <c r="F9" s="70">
        <v>2</v>
      </c>
      <c r="G9" s="71">
        <v>1.3</v>
      </c>
    </row>
    <row r="10" spans="1:7" x14ac:dyDescent="0.25">
      <c r="A10" s="68">
        <v>310</v>
      </c>
      <c r="B10" s="69" t="s">
        <v>37</v>
      </c>
      <c r="C10" s="67"/>
      <c r="D10" s="67"/>
      <c r="E10" s="67"/>
      <c r="F10" s="70">
        <v>3</v>
      </c>
      <c r="G10" s="71">
        <v>2.33</v>
      </c>
    </row>
    <row r="11" spans="1:7" x14ac:dyDescent="0.25">
      <c r="A11" s="68">
        <v>330</v>
      </c>
      <c r="B11" s="69" t="s">
        <v>39</v>
      </c>
      <c r="C11" s="67"/>
      <c r="D11" s="67"/>
      <c r="E11" s="67"/>
      <c r="F11" s="70">
        <v>12</v>
      </c>
      <c r="G11" s="72">
        <v>19</v>
      </c>
    </row>
    <row r="12" spans="1:7" x14ac:dyDescent="0.25">
      <c r="A12" s="68">
        <v>410</v>
      </c>
      <c r="B12" s="69" t="s">
        <v>42</v>
      </c>
      <c r="C12" s="67"/>
      <c r="D12" s="67"/>
      <c r="E12" s="67"/>
      <c r="F12" s="70">
        <v>8</v>
      </c>
      <c r="G12" s="71">
        <v>1.67</v>
      </c>
    </row>
    <row r="13" spans="1:7" x14ac:dyDescent="0.25">
      <c r="A13" s="68">
        <v>520</v>
      </c>
      <c r="B13" s="69" t="s">
        <v>45</v>
      </c>
      <c r="C13" s="67"/>
      <c r="D13" s="67"/>
      <c r="E13" s="67"/>
      <c r="F13" s="70">
        <v>1</v>
      </c>
      <c r="G13" s="71">
        <v>2.38</v>
      </c>
    </row>
    <row r="14" spans="1:7" x14ac:dyDescent="0.25">
      <c r="A14" s="56"/>
      <c r="B14" s="57"/>
      <c r="C14" s="55"/>
      <c r="D14" s="55"/>
      <c r="E14" s="55"/>
      <c r="F14" s="59"/>
      <c r="G14" s="61"/>
    </row>
    <row r="15" spans="1:7" x14ac:dyDescent="0.25">
      <c r="A15" s="56"/>
      <c r="B15" s="57"/>
      <c r="C15" s="55"/>
      <c r="D15" s="55"/>
      <c r="E15" s="55"/>
      <c r="F15" s="59"/>
      <c r="G15" s="61"/>
    </row>
    <row r="16" spans="1:7" x14ac:dyDescent="0.25">
      <c r="A16" s="49"/>
      <c r="B16" s="50"/>
      <c r="C16" s="48"/>
      <c r="D16" s="48"/>
      <c r="E16" s="48"/>
      <c r="F16" s="51"/>
      <c r="G16" s="52"/>
    </row>
    <row r="17" spans="1:7" x14ac:dyDescent="0.25">
      <c r="A17" s="49"/>
      <c r="B17" s="50"/>
      <c r="C17" s="48"/>
      <c r="D17" s="48"/>
      <c r="E17" s="48"/>
      <c r="F17" s="51"/>
      <c r="G17" s="52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4"/>
      <c r="B9" s="64"/>
      <c r="C9" s="64"/>
      <c r="D9" s="64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4"/>
      <c r="B12" s="64"/>
      <c r="C12" s="64"/>
      <c r="D12" s="64"/>
      <c r="E12" s="64"/>
      <c r="F12" s="64"/>
      <c r="G12" s="64"/>
      <c r="H12" s="64"/>
    </row>
    <row r="13" spans="1:8" ht="15" customHeight="1" x14ac:dyDescent="0.25">
      <c r="A13" s="64"/>
      <c r="B13" s="64"/>
      <c r="C13" s="64"/>
      <c r="D13" s="64"/>
      <c r="E13" s="64"/>
      <c r="F13" s="22"/>
      <c r="G13" s="25"/>
    </row>
    <row r="14" spans="1:8" x14ac:dyDescent="0.25">
      <c r="A14" s="22"/>
    </row>
    <row r="15" spans="1:8" x14ac:dyDescent="0.25">
      <c r="A15" s="64"/>
      <c r="B15" s="64"/>
      <c r="C15" s="64"/>
      <c r="D15" s="64"/>
      <c r="E15" s="64"/>
      <c r="F15" s="64"/>
      <c r="G15" s="64"/>
      <c r="H15" s="64"/>
    </row>
    <row r="16" spans="1:8" ht="15" customHeight="1" x14ac:dyDescent="0.25">
      <c r="A16" s="64"/>
      <c r="B16" s="64"/>
      <c r="C16" s="64"/>
      <c r="D16" s="64"/>
      <c r="E16" s="64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4"/>
      <c r="B544" s="64"/>
      <c r="C544" s="64"/>
      <c r="D544" s="64"/>
      <c r="E544" s="64"/>
      <c r="F544" s="64"/>
      <c r="G544" s="64"/>
      <c r="H544" s="64"/>
    </row>
    <row r="545" spans="1:8" ht="15" customHeight="1" x14ac:dyDescent="0.25">
      <c r="A545" s="64"/>
      <c r="B545" s="64"/>
      <c r="C545" s="64"/>
      <c r="D545" s="64"/>
      <c r="E545" s="64"/>
      <c r="F545" s="22"/>
      <c r="G545" s="25"/>
    </row>
    <row r="546" spans="1:8" x14ac:dyDescent="0.25">
      <c r="A546" s="22"/>
    </row>
    <row r="547" spans="1:8" x14ac:dyDescent="0.25">
      <c r="A547" s="64"/>
      <c r="B547" s="64"/>
      <c r="C547" s="64"/>
      <c r="D547" s="64"/>
      <c r="E547" s="64"/>
      <c r="F547" s="64"/>
      <c r="G547" s="64"/>
      <c r="H547" s="64"/>
    </row>
    <row r="548" spans="1:8" ht="15" customHeight="1" x14ac:dyDescent="0.25">
      <c r="A548" s="64"/>
      <c r="B548" s="64"/>
      <c r="C548" s="64"/>
      <c r="D548" s="64"/>
      <c r="E548" s="64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4"/>
      <c r="B729" s="64"/>
      <c r="C729" s="64"/>
      <c r="D729" s="64"/>
      <c r="E729" s="64"/>
      <c r="F729" s="64"/>
      <c r="G729" s="64"/>
      <c r="H729" s="64"/>
    </row>
    <row r="730" spans="1:8" ht="15" customHeight="1" x14ac:dyDescent="0.25">
      <c r="A730" s="64"/>
      <c r="B730" s="64"/>
      <c r="C730" s="64"/>
      <c r="D730" s="64"/>
      <c r="E730" s="64"/>
      <c r="F730" s="22"/>
      <c r="G730" s="25"/>
    </row>
    <row r="731" spans="1:8" x14ac:dyDescent="0.25">
      <c r="A731" s="22"/>
    </row>
    <row r="732" spans="1:8" x14ac:dyDescent="0.25">
      <c r="A732" s="64"/>
      <c r="B732" s="64"/>
      <c r="C732" s="64"/>
      <c r="D732" s="64"/>
      <c r="E732" s="64"/>
      <c r="F732" s="64"/>
      <c r="G732" s="64"/>
      <c r="H732" s="64"/>
    </row>
    <row r="733" spans="1:8" ht="15" customHeight="1" x14ac:dyDescent="0.25">
      <c r="A733" s="64"/>
      <c r="B733" s="64"/>
      <c r="C733" s="64"/>
      <c r="D733" s="64"/>
      <c r="E733" s="64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36" sqref="J36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style="3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5" t="s">
        <v>0</v>
      </c>
      <c r="B1" s="65"/>
      <c r="C1" s="65"/>
      <c r="D1" s="65"/>
      <c r="E1" s="65"/>
      <c r="F1" s="65"/>
      <c r="G1" s="73"/>
      <c r="I1" s="17" t="s">
        <v>54</v>
      </c>
      <c r="J1" s="18">
        <f>G10</f>
        <v>-425</v>
      </c>
      <c r="L1" s="38" t="s">
        <v>88</v>
      </c>
      <c r="M1" s="39">
        <f>30+16+6+8</f>
        <v>60</v>
      </c>
      <c r="O1" s="44" t="s">
        <v>7</v>
      </c>
      <c r="P1" s="45">
        <v>2</v>
      </c>
    </row>
    <row r="2" spans="1:16" ht="18.75" x14ac:dyDescent="0.4">
      <c r="A2" s="65"/>
      <c r="B2" s="65"/>
      <c r="C2" s="65"/>
      <c r="D2" s="65"/>
      <c r="E2" s="65"/>
      <c r="F2" s="65"/>
      <c r="G2" s="73"/>
      <c r="I2" s="13" t="s">
        <v>60</v>
      </c>
      <c r="J2" s="14">
        <f>D54*-1</f>
        <v>-81.7</v>
      </c>
      <c r="L2" s="40" t="s">
        <v>61</v>
      </c>
      <c r="M2" s="38">
        <f>J1+M1</f>
        <v>-365</v>
      </c>
      <c r="O2" s="44" t="s">
        <v>91</v>
      </c>
      <c r="P2" s="45"/>
    </row>
    <row r="3" spans="1:16" ht="18.75" x14ac:dyDescent="0.4">
      <c r="A3" s="65"/>
      <c r="B3" s="65"/>
      <c r="C3" s="65"/>
      <c r="D3" s="65"/>
      <c r="E3" s="65"/>
      <c r="F3" s="65"/>
      <c r="G3" s="73"/>
      <c r="I3" s="15" t="s">
        <v>53</v>
      </c>
      <c r="J3" s="16">
        <f>G54+J1+J2</f>
        <v>97245.209999999977</v>
      </c>
      <c r="O3" s="44" t="s">
        <v>89</v>
      </c>
      <c r="P3" s="54">
        <v>3.15</v>
      </c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74" t="s">
        <v>5</v>
      </c>
      <c r="H4" s="5"/>
      <c r="O4" s="46" t="s">
        <v>90</v>
      </c>
      <c r="P4" s="47">
        <f>SUM(P1:P3)</f>
        <v>5.15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1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-425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5">
        <f>C10+D10</f>
        <v>-425</v>
      </c>
      <c r="J10" s="42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8.3000000000000007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5">
        <f t="shared" si="0"/>
        <v>8.3000000000000007</v>
      </c>
      <c r="J11" s="43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5">
        <f t="shared" si="0"/>
        <v>4.45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14094.27</v>
      </c>
      <c r="D22" s="3">
        <f>IFERROR(INDEX('SubDept Coupon (Local Discount)'!G$1:G$100,MATCH('SubDept Sales Report'!A22,'SubDept Coupon (Local Discount)'!A$1:A$100,0)),0)</f>
        <v>8.19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5">
        <f t="shared" si="0"/>
        <v>14102.460000000001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9952.6200000000008</v>
      </c>
      <c r="D23" s="3">
        <f>IFERROR(INDEX('SubDept Coupon (Local Discount)'!G$1:G$100,MATCH('SubDept Sales Report'!A23,'SubDept Coupon (Local Discount)'!A$1:A$100,0)),0)</f>
        <v>21.59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5">
        <f t="shared" si="0"/>
        <v>9974.2100000000009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3170.95</v>
      </c>
      <c r="D24" s="3">
        <f>IFERROR(INDEX('SubDept Coupon (Local Discount)'!G$1:G$100,MATCH('SubDept Sales Report'!A24,'SubDept Coupon (Local Discount)'!A$1:A$100,0)),0)</f>
        <v>1.27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5">
        <f t="shared" si="0"/>
        <v>3172.22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8804.98</v>
      </c>
      <c r="D25" s="3">
        <f>IFERROR(INDEX('SubDept Coupon (Local Discount)'!G$1:G$100,MATCH('SubDept Sales Report'!A25,'SubDept Coupon (Local Discount)'!A$1:A$100,0)),0)</f>
        <v>0.82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5">
        <f t="shared" si="0"/>
        <v>8805.7999999999993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712.26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5">
        <f t="shared" si="0"/>
        <v>712.26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2259.67</v>
      </c>
      <c r="D27" s="3">
        <f>IFERROR(INDEX('SubDept Coupon (Local Discount)'!G$1:G$100,MATCH('SubDept Sales Report'!A27,'SubDept Coupon (Local Discount)'!A$1:A$100,0)),0)</f>
        <v>15.66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5">
        <f t="shared" si="0"/>
        <v>2275.33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974.38</v>
      </c>
      <c r="D28" s="3">
        <f>IFERROR(INDEX('SubDept Coupon (Local Discount)'!G$1:G$100,MATCH('SubDept Sales Report'!A28,'SubDept Coupon (Local Discount)'!A$1:A$100,0)),0)</f>
        <v>7.49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5">
        <f t="shared" si="0"/>
        <v>981.87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521.07000000000005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5">
        <f t="shared" si="0"/>
        <v>521.07000000000005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697.06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5">
        <f t="shared" si="0"/>
        <v>697.06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9497.0499999999993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5">
        <f t="shared" si="0"/>
        <v>9497.0499999999993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2590.87</v>
      </c>
      <c r="D33" s="3">
        <f>IFERROR(INDEX('SubDept Coupon (Local Discount)'!G$1:G$100,MATCH('SubDept Sales Report'!A33,'SubDept Coupon (Local Discount)'!A$1:A$100,0)),0)</f>
        <v>1.3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5">
        <f t="shared" si="0"/>
        <v>2592.17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473.62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5">
        <f t="shared" si="0"/>
        <v>473.62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782.17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5">
        <f t="shared" si="0"/>
        <v>782.17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690.22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5">
        <f t="shared" si="0"/>
        <v>690.22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4761.33</v>
      </c>
      <c r="D39" s="3">
        <f>IFERROR(INDEX('SubDept Coupon (Local Discount)'!G$1:G$100,MATCH('SubDept Sales Report'!A39,'SubDept Coupon (Local Discount)'!A$1:A$100,0)),0)</f>
        <v>2.33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5">
        <f t="shared" si="0"/>
        <v>4763.66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7630.24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5">
        <f t="shared" si="0"/>
        <v>7630.24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1875.54</v>
      </c>
      <c r="D41" s="3">
        <f>IFERROR(INDEX('SubDept Coupon (Local Discount)'!G$1:G$100,MATCH('SubDept Sales Report'!A41,'SubDept Coupon (Local Discount)'!A$1:A$100,0)),0)</f>
        <v>19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5">
        <f t="shared" si="0"/>
        <v>1894.54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1954.11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5">
        <f t="shared" si="0"/>
        <v>1954.11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1404.43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5">
        <f t="shared" si="0"/>
        <v>1404.43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14130.51</v>
      </c>
      <c r="D44" s="3">
        <f>IFERROR(INDEX('SubDept Coupon (Local Discount)'!G$1:G$100,MATCH('SubDept Sales Report'!A44,'SubDept Coupon (Local Discount)'!A$1:A$100,0)),0)</f>
        <v>1.67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5">
        <f t="shared" si="0"/>
        <v>14132.18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2515.5300000000002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5">
        <f t="shared" si="0"/>
        <v>2515.5300000000002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2694.5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5">
        <f t="shared" si="0"/>
        <v>2694.5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5276.05</v>
      </c>
      <c r="D47" s="3">
        <f>IFERROR(INDEX('SubDept Coupon (Local Discount)'!G$1:G$100,MATCH('SubDept Sales Report'!A47,'SubDept Coupon (Local Discount)'!A$1:A$100,0)),0)</f>
        <v>2.38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5">
        <f t="shared" si="0"/>
        <v>5278.43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24.89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5">
        <f t="shared" si="0"/>
        <v>24.89</v>
      </c>
      <c r="I50" s="12"/>
      <c r="J50" s="3"/>
      <c r="K50" s="3"/>
    </row>
    <row r="51" spans="1:1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16.28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75">
        <f t="shared" si="0"/>
        <v>16.28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152.86000000000001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5">
        <f t="shared" si="0"/>
        <v>152.86000000000001</v>
      </c>
      <c r="I53" s="12"/>
      <c r="J53" s="3"/>
      <c r="K53" s="3"/>
    </row>
    <row r="54" spans="1:11" x14ac:dyDescent="0.25">
      <c r="B54" s="19" t="s">
        <v>52</v>
      </c>
      <c r="C54" s="3">
        <f>SUM(C5:C53)</f>
        <v>97245.209999999992</v>
      </c>
      <c r="D54" s="11">
        <f>SUM(D5:D53)</f>
        <v>81.7</v>
      </c>
      <c r="E54" s="11">
        <f>SUM(E5:E53)</f>
        <v>0</v>
      </c>
      <c r="F54" s="11">
        <f>SUM(F5:F53)</f>
        <v>0</v>
      </c>
      <c r="G54" s="76">
        <f>SUM(G11:G53,G9,G8,G7,G6,G5)</f>
        <v>97751.909999999974</v>
      </c>
      <c r="I54" s="12"/>
      <c r="J54" s="3"/>
      <c r="K54" s="3"/>
    </row>
  </sheetData>
  <autoFilter ref="A4:G54" xr:uid="{459199FD-0CD3-4C93-B98C-3BA614742282}">
    <filterColumn colId="6">
      <filters>
        <filter val="$(425.00)"/>
        <filter val="$1,404.43"/>
        <filter val="$1,894.54"/>
        <filter val="$1,954.11"/>
        <filter val="$14,102.46"/>
        <filter val="$14,132.18"/>
        <filter val="$152.86"/>
        <filter val="$16.28"/>
        <filter val="$2,275.33"/>
        <filter val="$2,515.53"/>
        <filter val="$2,592.17"/>
        <filter val="$2,694.50"/>
        <filter val="$24.89"/>
        <filter val="$3,172.22"/>
        <filter val="$4,763.66"/>
        <filter val="$4.45"/>
        <filter val="$473.62"/>
        <filter val="$5,278.43"/>
        <filter val="$521.07"/>
        <filter val="$690.22"/>
        <filter val="$697.06"/>
        <filter val="$7,630.24"/>
        <filter val="$712.26"/>
        <filter val="$782.17"/>
        <filter val="$8,805.80"/>
        <filter val="$8.30"/>
        <filter val="$9,497.05"/>
        <filter val="$9,974.21"/>
        <filter val="$97,751.91"/>
        <filter val="$981.87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Liz Tuttle</cp:lastModifiedBy>
  <cp:lastPrinted>2025-01-20T20:49:57Z</cp:lastPrinted>
  <dcterms:created xsi:type="dcterms:W3CDTF">2019-02-06T18:14:04Z</dcterms:created>
  <dcterms:modified xsi:type="dcterms:W3CDTF">2026-07-19T16:13:17Z</dcterms:modified>
</cp:coreProperties>
</file>