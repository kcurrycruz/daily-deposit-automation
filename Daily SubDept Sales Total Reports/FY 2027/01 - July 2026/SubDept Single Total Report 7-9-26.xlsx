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DD120146-AD21-4865-9C1B-3015AFEA5406}" xr6:coauthVersionLast="47" xr6:coauthVersionMax="47" xr10:uidLastSave="{00000000-0000-0000-0000-000000000000}"/>
  <bookViews>
    <workbookView xWindow="2874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<sst xmlns="http://schemas.openxmlformats.org/spreadsheetml/2006/main" count="139" uniqueCount="92">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</sst>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74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9" fillId="0" borderId="0" xfId="10"/>
    <xf numFmtId="1" fontId="20" fillId="0" borderId="0" xfId="10" applyNumberFormat="1" applyFont="1" applyFill="1" applyAlignment="1" applyProtection="1">
      <alignment horizontal="left" vertical="top"/>
      <protection locked="0"/>
    </xf>
    <xf numFmtId="0" fontId="20" fillId="0" borderId="0" xfId="10" applyFont="1" applyFill="1" applyAlignment="1" applyProtection="1">
      <alignment horizontal="left" vertical="top"/>
      <protection locked="0"/>
    </xf>
    <xf numFmtId="1" fontId="19" fillId="0" borderId="0" xfId="10" applyNumberFormat="1" applyFill="1" applyAlignment="1" applyProtection="1">
      <alignment horizontal="right" vertical="top"/>
      <protection locked="0"/>
    </xf>
    <xf numFmtId="2" fontId="19" fillId="0" borderId="0" xfId="10" applyNumberFormat="1" applyFill="1" applyAlignment="1" applyProtection="1">
      <alignment horizontal="right" vertical="top"/>
      <protection locked="0"/>
    </xf>
    <xf numFmtId="165" fontId="19" fillId="0" borderId="0" xfId="10" applyNumberFormat="1" applyFill="1" applyAlignment="1" applyProtection="1">
      <alignment horizontal="right" vertical="top"/>
      <protection locked="0"/>
    </xf>
    <xf numFmtId="0" fontId="19" fillId="0" borderId="0" xfId="10"/>
    <xf numFmtId="1" fontId="20" fillId="0" borderId="0" xfId="10" applyNumberFormat="1" applyFont="1" applyFill="1" applyAlignment="1" applyProtection="1">
      <alignment horizontal="left" vertical="top"/>
      <protection locked="0"/>
    </xf>
    <xf numFmtId="0" fontId="20" fillId="0" borderId="0" xfId="10" applyFont="1" applyFill="1" applyAlignment="1" applyProtection="1">
      <alignment horizontal="left" vertical="top"/>
      <protection locked="0"/>
    </xf>
    <xf numFmtId="164" fontId="19" fillId="0" borderId="0" xfId="10" applyNumberFormat="1" applyFill="1" applyAlignment="1" applyProtection="1">
      <alignment horizontal="right" vertical="top"/>
      <protection locked="0"/>
    </xf>
    <xf numFmtId="1" fontId="19" fillId="0" borderId="0" xfId="10" applyNumberFormat="1" applyFill="1" applyAlignment="1" applyProtection="1">
      <alignment horizontal="right" vertical="top"/>
      <protection locked="0"/>
    </xf>
    <xf numFmtId="2" fontId="19" fillId="0" borderId="0" xfId="10" applyNumberFormat="1" applyFill="1" applyAlignment="1" applyProtection="1">
      <alignment horizontal="right" vertical="top"/>
      <protection locked="0"/>
    </xf>
    <xf numFmtId="167" fontId="19" fillId="0" borderId="0" xfId="10" applyNumberFormat="1" applyFill="1" applyAlignment="1" applyProtection="1">
      <alignment horizontal="right" vertical="top"/>
      <protection locked="0"/>
    </xf>
    <xf numFmtId="165" fontId="19" fillId="0" borderId="0" xfId="10" applyNumberFormat="1" applyFill="1" applyAlignment="1" applyProtection="1">
      <alignment horizontal="right" vertical="top"/>
      <protection locked="0"/>
    </xf>
    <xf numFmtId="166" fontId="19" fillId="0" borderId="0" xfId="10" applyNumberFormat="1" applyFill="1" applyAlignment="1" applyProtection="1">
      <alignment horizontal="right" vertical="top"/>
      <protection locked="0"/>
    </xf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activeCell="F37" sqref="F37"/>
    </sheetView>
  </sheetViews>
  <sheetFormatPr defaultRowHeight="15" x14ac:dyDescent="0.25"/>
  <cols>
    <col min="2" max="2" width="14.7109375" bestFit="1" customWidth="1"/>
  </cols>
  <sheetData>
    <row r="1" spans="1:7" x14ac:dyDescent="0.25">
      <c r="A1" s="66">
        <v>27</v>
      </c>
      <c r="B1" s="67" t="s">
        <v>11</v>
      </c>
      <c r="C1" s="65"/>
      <c r="D1" s="65"/>
      <c r="E1" s="65"/>
      <c r="F1" s="65"/>
      <c r="G1" s="68">
        <v>-628</v>
      </c>
    </row>
    <row r="2" spans="1:7" x14ac:dyDescent="0.25">
      <c r="A2" s="66">
        <v>28</v>
      </c>
      <c r="B2" s="67" t="s">
        <v>12</v>
      </c>
      <c r="C2" s="65"/>
      <c r="D2" s="65"/>
      <c r="E2" s="65"/>
      <c r="F2" s="69">
        <v>69</v>
      </c>
      <c r="G2" s="70">
        <v>6.9</v>
      </c>
    </row>
    <row r="3" spans="1:7" x14ac:dyDescent="0.25">
      <c r="A3" s="66">
        <v>38</v>
      </c>
      <c r="B3" s="67" t="s">
        <v>55</v>
      </c>
      <c r="C3" s="65"/>
      <c r="D3" s="65"/>
      <c r="E3" s="65"/>
      <c r="F3" s="69">
        <v>75</v>
      </c>
      <c r="G3" s="70">
        <v>3.75</v>
      </c>
    </row>
    <row r="4" spans="1:7" x14ac:dyDescent="0.25">
      <c r="A4" s="66">
        <v>110</v>
      </c>
      <c r="B4" s="67" t="s">
        <v>22</v>
      </c>
      <c r="C4" s="65"/>
      <c r="D4" s="65"/>
      <c r="E4" s="65"/>
      <c r="F4" s="69">
        <v>2866</v>
      </c>
      <c r="G4" s="71">
        <v>13522.17</v>
      </c>
    </row>
    <row r="5" spans="1:7" x14ac:dyDescent="0.25">
      <c r="A5" s="66">
        <v>120</v>
      </c>
      <c r="B5" s="67" t="s">
        <v>23</v>
      </c>
      <c r="C5" s="65"/>
      <c r="D5" s="65"/>
      <c r="E5" s="65"/>
      <c r="F5" s="69">
        <v>2049</v>
      </c>
      <c r="G5" s="71">
        <v>10256.959999999999</v>
      </c>
    </row>
    <row r="6" spans="1:7" x14ac:dyDescent="0.25">
      <c r="A6" s="66">
        <v>130</v>
      </c>
      <c r="B6" s="67" t="s">
        <v>24</v>
      </c>
      <c r="C6" s="65"/>
      <c r="D6" s="65"/>
      <c r="E6" s="65"/>
      <c r="F6" s="69">
        <v>407</v>
      </c>
      <c r="G6" s="73">
        <v>2758.77</v>
      </c>
    </row>
    <row r="7" spans="1:7" x14ac:dyDescent="0.25">
      <c r="A7" s="66">
        <v>140</v>
      </c>
      <c r="B7" s="67" t="s">
        <v>25</v>
      </c>
      <c r="C7" s="65"/>
      <c r="D7" s="65"/>
      <c r="E7" s="65"/>
      <c r="F7" s="69">
        <v>1259</v>
      </c>
      <c r="G7" s="73">
        <v>9544.33</v>
      </c>
    </row>
    <row r="8" spans="1:7" x14ac:dyDescent="0.25">
      <c r="A8" s="66">
        <v>142</v>
      </c>
      <c r="B8" s="67" t="s">
        <v>26</v>
      </c>
      <c r="C8" s="65"/>
      <c r="D8" s="65"/>
      <c r="E8" s="65"/>
      <c r="F8" s="69">
        <v>151</v>
      </c>
      <c r="G8" s="68">
        <v>718.69</v>
      </c>
    </row>
    <row r="9" spans="1:7" x14ac:dyDescent="0.25">
      <c r="A9" s="66">
        <v>150</v>
      </c>
      <c r="B9" s="67" t="s">
        <v>27</v>
      </c>
      <c r="C9" s="65"/>
      <c r="D9" s="65"/>
      <c r="E9" s="65"/>
      <c r="F9" s="69">
        <v>351</v>
      </c>
      <c r="G9" s="73">
        <v>1997.62</v>
      </c>
    </row>
    <row r="10" spans="1:7" x14ac:dyDescent="0.25">
      <c r="A10" s="66">
        <v>160</v>
      </c>
      <c r="B10" s="67" t="s">
        <v>28</v>
      </c>
      <c r="C10" s="65"/>
      <c r="D10" s="65"/>
      <c r="E10" s="65"/>
      <c r="F10" s="69">
        <v>76</v>
      </c>
      <c r="G10" s="68">
        <v>772.19</v>
      </c>
    </row>
    <row r="11" spans="1:7" x14ac:dyDescent="0.25">
      <c r="A11" s="66">
        <v>180</v>
      </c>
      <c r="B11" s="67" t="s">
        <v>30</v>
      </c>
      <c r="C11" s="65"/>
      <c r="D11" s="65"/>
      <c r="E11" s="65"/>
      <c r="F11" s="69">
        <v>94</v>
      </c>
      <c r="G11" s="68">
        <v>249.77</v>
      </c>
    </row>
    <row r="12" spans="1:7" x14ac:dyDescent="0.25">
      <c r="A12" s="66">
        <v>190</v>
      </c>
      <c r="B12" s="67" t="s">
        <v>31</v>
      </c>
      <c r="C12" s="65"/>
      <c r="D12" s="65"/>
      <c r="E12" s="65"/>
      <c r="F12" s="69">
        <v>121</v>
      </c>
      <c r="G12" s="68">
        <v>859.59</v>
      </c>
    </row>
    <row r="13" spans="1:7" x14ac:dyDescent="0.25">
      <c r="A13" s="66">
        <v>210</v>
      </c>
      <c r="B13" s="67" t="s">
        <v>32</v>
      </c>
      <c r="C13" s="65"/>
      <c r="D13" s="65"/>
      <c r="E13" s="65"/>
      <c r="F13" s="69">
        <v>1222</v>
      </c>
      <c r="G13" s="73">
        <v>9879.6</v>
      </c>
    </row>
    <row r="14" spans="1:7" x14ac:dyDescent="0.25">
      <c r="A14" s="66">
        <v>220</v>
      </c>
      <c r="B14" s="67" t="s">
        <v>33</v>
      </c>
      <c r="C14" s="65"/>
      <c r="D14" s="65"/>
      <c r="E14" s="65"/>
      <c r="F14" s="69">
        <v>702</v>
      </c>
      <c r="G14" s="73">
        <v>2552.64</v>
      </c>
    </row>
    <row r="15" spans="1:7" x14ac:dyDescent="0.25">
      <c r="A15" s="66">
        <v>230</v>
      </c>
      <c r="B15" s="67" t="s">
        <v>34</v>
      </c>
      <c r="C15" s="65"/>
      <c r="D15" s="65"/>
      <c r="E15" s="65"/>
      <c r="F15" s="69">
        <v>2</v>
      </c>
      <c r="G15" s="68">
        <v>424.91</v>
      </c>
    </row>
    <row r="16" spans="1:7" x14ac:dyDescent="0.25">
      <c r="A16" s="66">
        <v>235</v>
      </c>
      <c r="B16" s="67" t="s">
        <v>59</v>
      </c>
      <c r="C16" s="65"/>
      <c r="D16" s="65"/>
      <c r="E16" s="65"/>
      <c r="F16" s="69">
        <v>108</v>
      </c>
      <c r="G16" s="68">
        <v>807.28</v>
      </c>
    </row>
    <row r="17" spans="1:7" x14ac:dyDescent="0.25">
      <c r="A17" s="66">
        <v>240</v>
      </c>
      <c r="B17" s="67" t="s">
        <v>35</v>
      </c>
      <c r="C17" s="65"/>
      <c r="D17" s="65"/>
      <c r="E17" s="65"/>
      <c r="F17" s="69">
        <v>201</v>
      </c>
      <c r="G17" s="68">
        <v>726.96</v>
      </c>
    </row>
    <row r="18" spans="1:7" x14ac:dyDescent="0.25">
      <c r="A18" s="66">
        <v>250</v>
      </c>
      <c r="B18" s="67" t="s">
        <v>36</v>
      </c>
      <c r="C18" s="65"/>
      <c r="D18" s="65"/>
      <c r="E18" s="65"/>
      <c r="F18" s="69">
        <v>184</v>
      </c>
      <c r="G18" s="73">
        <v>1016.26</v>
      </c>
    </row>
    <row r="19" spans="1:7" x14ac:dyDescent="0.25">
      <c r="A19" s="66">
        <v>310</v>
      </c>
      <c r="B19" s="67" t="s">
        <v>37</v>
      </c>
      <c r="C19" s="65"/>
      <c r="D19" s="65"/>
      <c r="E19" s="65"/>
      <c r="F19" s="69">
        <v>755</v>
      </c>
      <c r="G19" s="73">
        <v>5296.72</v>
      </c>
    </row>
    <row r="20" spans="1:7" x14ac:dyDescent="0.25">
      <c r="A20" s="66">
        <v>320</v>
      </c>
      <c r="B20" s="67" t="s">
        <v>38</v>
      </c>
      <c r="C20" s="65"/>
      <c r="D20" s="65"/>
      <c r="E20" s="65"/>
      <c r="F20" s="69">
        <v>579</v>
      </c>
      <c r="G20" s="73">
        <v>6655.09</v>
      </c>
    </row>
    <row r="21" spans="1:7" x14ac:dyDescent="0.25">
      <c r="A21" s="66">
        <v>330</v>
      </c>
      <c r="B21" s="67" t="s">
        <v>39</v>
      </c>
      <c r="C21" s="65"/>
      <c r="D21" s="65"/>
      <c r="E21" s="65"/>
      <c r="F21" s="69">
        <v>172</v>
      </c>
      <c r="G21" s="73">
        <v>1737.86</v>
      </c>
    </row>
    <row r="22" spans="1:7" x14ac:dyDescent="0.25">
      <c r="A22" s="66">
        <v>340</v>
      </c>
      <c r="B22" s="67" t="s">
        <v>40</v>
      </c>
      <c r="C22" s="65"/>
      <c r="D22" s="65"/>
      <c r="E22" s="65"/>
      <c r="F22" s="69">
        <v>116</v>
      </c>
      <c r="G22" s="73">
        <v>1836.84</v>
      </c>
    </row>
    <row r="23" spans="1:7" x14ac:dyDescent="0.25">
      <c r="A23" s="66">
        <v>350</v>
      </c>
      <c r="B23" s="67" t="s">
        <v>41</v>
      </c>
      <c r="C23" s="65"/>
      <c r="D23" s="65"/>
      <c r="E23" s="65"/>
      <c r="F23" s="69">
        <v>176</v>
      </c>
      <c r="G23" s="73">
        <v>1583.01</v>
      </c>
    </row>
    <row r="24" spans="1:7" x14ac:dyDescent="0.25">
      <c r="A24" s="66">
        <v>410</v>
      </c>
      <c r="B24" s="67" t="s">
        <v>42</v>
      </c>
      <c r="C24" s="65"/>
      <c r="D24" s="65"/>
      <c r="E24" s="65"/>
      <c r="F24" s="69">
        <v>3949</v>
      </c>
      <c r="G24" s="71">
        <v>15043.11</v>
      </c>
    </row>
    <row r="25" spans="1:7" x14ac:dyDescent="0.25">
      <c r="A25" s="66">
        <v>420</v>
      </c>
      <c r="B25" s="67" t="s">
        <v>43</v>
      </c>
      <c r="C25" s="65"/>
      <c r="D25" s="65"/>
      <c r="E25" s="65"/>
      <c r="F25" s="69">
        <v>296</v>
      </c>
      <c r="G25" s="73">
        <v>2212.66</v>
      </c>
    </row>
    <row r="26" spans="1:7" x14ac:dyDescent="0.25">
      <c r="A26" s="66">
        <v>510</v>
      </c>
      <c r="B26" s="67" t="s">
        <v>44</v>
      </c>
      <c r="C26" s="65"/>
      <c r="D26" s="65"/>
      <c r="E26" s="65"/>
      <c r="F26" s="69">
        <v>252</v>
      </c>
      <c r="G26" s="73">
        <v>2153.84</v>
      </c>
    </row>
    <row r="27" spans="1:7" x14ac:dyDescent="0.25">
      <c r="A27" s="66">
        <v>520</v>
      </c>
      <c r="B27" s="67" t="s">
        <v>45</v>
      </c>
      <c r="C27" s="65"/>
      <c r="D27" s="65"/>
      <c r="E27" s="65"/>
      <c r="F27" s="69">
        <v>307</v>
      </c>
      <c r="G27" s="73">
        <v>4888.33</v>
      </c>
    </row>
    <row r="28" spans="1:7" x14ac:dyDescent="0.25">
      <c r="A28" s="66">
        <v>550</v>
      </c>
      <c r="B28" s="67" t="s">
        <v>48</v>
      </c>
      <c r="C28" s="65"/>
      <c r="D28" s="65"/>
      <c r="E28" s="65"/>
      <c r="F28" s="69">
        <v>3</v>
      </c>
      <c r="G28" s="72">
        <v>26.93</v>
      </c>
    </row>
    <row r="29" spans="1:7" x14ac:dyDescent="0.25">
      <c r="A29" s="66">
        <v>1300</v>
      </c>
      <c r="B29" s="67" t="s">
        <v>51</v>
      </c>
      <c r="C29" s="65"/>
      <c r="D29" s="65"/>
      <c r="E29" s="65"/>
      <c r="F29" s="69">
        <v>23</v>
      </c>
      <c r="G29" s="68">
        <v>155.87</v>
      </c>
    </row>
    <row r="30" spans="1:7" x14ac:dyDescent="0.25">
      <c r="A30" s="51"/>
      <c r="B30" s="52"/>
      <c r="C30" s="50"/>
      <c r="D30" s="50"/>
      <c r="E30" s="50"/>
      <c r="F30" s="53"/>
      <c r="G30" s="55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5"/>
    </sheetView>
  </sheetViews>
  <sheetFormatPr defaultRowHeight="15" x14ac:dyDescent="0.25"/>
  <sheetData>
    <row r="1" spans="1:7" x14ac:dyDescent="0.25">
      <c r="A1" s="60">
        <v>110</v>
      </c>
      <c r="B1" s="61" t="s">
        <v>22</v>
      </c>
      <c r="C1" s="59"/>
      <c r="D1" s="59"/>
      <c r="E1" s="59"/>
      <c r="F1" s="62">
        <v>18</v>
      </c>
      <c r="G1" s="63">
        <v>6.46</v>
      </c>
    </row>
    <row r="2" spans="1:7" x14ac:dyDescent="0.25">
      <c r="A2" s="60">
        <v>120</v>
      </c>
      <c r="B2" s="61" t="s">
        <v>23</v>
      </c>
      <c r="C2" s="59"/>
      <c r="D2" s="59"/>
      <c r="E2" s="59"/>
      <c r="F2" s="62">
        <v>37</v>
      </c>
      <c r="G2" s="64">
        <v>22.72</v>
      </c>
    </row>
    <row r="3" spans="1:7" x14ac:dyDescent="0.25">
      <c r="A3" s="60">
        <v>130</v>
      </c>
      <c r="B3" s="61" t="s">
        <v>24</v>
      </c>
      <c r="C3" s="59"/>
      <c r="D3" s="59"/>
      <c r="E3" s="59"/>
      <c r="F3" s="62">
        <v>2</v>
      </c>
      <c r="G3" s="63">
        <v>1.1599999999999999</v>
      </c>
    </row>
    <row r="4" spans="1:7" x14ac:dyDescent="0.25">
      <c r="A4" s="60">
        <v>140</v>
      </c>
      <c r="B4" s="61" t="s">
        <v>25</v>
      </c>
      <c r="C4" s="59"/>
      <c r="D4" s="59"/>
      <c r="E4" s="59"/>
      <c r="F4" s="62">
        <v>1</v>
      </c>
      <c r="G4" s="63">
        <v>3.9</v>
      </c>
    </row>
    <row r="5" spans="1:7" x14ac:dyDescent="0.25">
      <c r="A5" s="60">
        <v>142</v>
      </c>
      <c r="B5" s="61" t="s">
        <v>26</v>
      </c>
      <c r="C5" s="59"/>
      <c r="D5" s="59"/>
      <c r="E5" s="59"/>
      <c r="F5" s="62">
        <v>102</v>
      </c>
      <c r="G5" s="59"/>
    </row>
    <row r="6" spans="1:7" x14ac:dyDescent="0.25">
      <c r="A6" s="60">
        <v>150</v>
      </c>
      <c r="B6" s="61" t="s">
        <v>27</v>
      </c>
      <c r="C6" s="59"/>
      <c r="D6" s="59"/>
      <c r="E6" s="59"/>
      <c r="F6" s="62">
        <v>24</v>
      </c>
      <c r="G6" s="64">
        <v>10.18</v>
      </c>
    </row>
    <row r="7" spans="1:7" x14ac:dyDescent="0.25">
      <c r="A7" s="60">
        <v>160</v>
      </c>
      <c r="B7" s="61" t="s">
        <v>28</v>
      </c>
      <c r="C7" s="59"/>
      <c r="D7" s="59"/>
      <c r="E7" s="59"/>
      <c r="F7" s="62">
        <v>4</v>
      </c>
      <c r="G7" s="63">
        <v>5.65</v>
      </c>
    </row>
    <row r="8" spans="1:7" x14ac:dyDescent="0.25">
      <c r="A8" s="60">
        <v>210</v>
      </c>
      <c r="B8" s="61" t="s">
        <v>32</v>
      </c>
      <c r="C8" s="59"/>
      <c r="D8" s="59"/>
      <c r="E8" s="59"/>
      <c r="F8" s="62">
        <v>23</v>
      </c>
      <c r="G8" s="59"/>
    </row>
    <row r="9" spans="1:7" x14ac:dyDescent="0.25">
      <c r="A9" s="60">
        <v>220</v>
      </c>
      <c r="B9" s="61" t="s">
        <v>33</v>
      </c>
      <c r="C9" s="59"/>
      <c r="D9" s="59"/>
      <c r="E9" s="59"/>
      <c r="F9" s="62">
        <v>2</v>
      </c>
      <c r="G9" s="63">
        <v>1.1000000000000001</v>
      </c>
    </row>
    <row r="10" spans="1:7" x14ac:dyDescent="0.25">
      <c r="A10" s="60">
        <v>310</v>
      </c>
      <c r="B10" s="61" t="s">
        <v>37</v>
      </c>
      <c r="C10" s="59"/>
      <c r="D10" s="59"/>
      <c r="E10" s="59"/>
      <c r="F10" s="62">
        <v>10</v>
      </c>
      <c r="G10" s="63">
        <v>7.51</v>
      </c>
    </row>
    <row r="11" spans="1:7" x14ac:dyDescent="0.25">
      <c r="A11" s="60">
        <v>330</v>
      </c>
      <c r="B11" s="61" t="s">
        <v>39</v>
      </c>
      <c r="C11" s="59"/>
      <c r="D11" s="59"/>
      <c r="E11" s="59"/>
      <c r="F11" s="62">
        <v>3</v>
      </c>
      <c r="G11" s="63">
        <v>2.5299999999999998</v>
      </c>
    </row>
    <row r="12" spans="1:7" x14ac:dyDescent="0.25">
      <c r="A12" s="60">
        <v>350</v>
      </c>
      <c r="B12" s="61" t="s">
        <v>41</v>
      </c>
      <c r="C12" s="59"/>
      <c r="D12" s="59"/>
      <c r="E12" s="59"/>
      <c r="F12" s="62">
        <v>2</v>
      </c>
      <c r="G12" s="63">
        <v>2.4500000000000002</v>
      </c>
    </row>
    <row r="13" spans="1:7" x14ac:dyDescent="0.25">
      <c r="A13" s="60">
        <v>410</v>
      </c>
      <c r="B13" s="61" t="s">
        <v>42</v>
      </c>
      <c r="C13" s="59"/>
      <c r="D13" s="59"/>
      <c r="E13" s="59"/>
      <c r="F13" s="62">
        <v>8</v>
      </c>
      <c r="G13" s="63">
        <v>2.0499999999999998</v>
      </c>
    </row>
    <row r="14" spans="1:7" x14ac:dyDescent="0.25">
      <c r="A14" s="60">
        <v>420</v>
      </c>
      <c r="B14" s="61" t="s">
        <v>43</v>
      </c>
      <c r="C14" s="59"/>
      <c r="D14" s="59"/>
      <c r="E14" s="59"/>
      <c r="F14" s="62">
        <v>1</v>
      </c>
      <c r="G14" s="64">
        <v>13.99</v>
      </c>
    </row>
    <row r="15" spans="1:7" x14ac:dyDescent="0.25">
      <c r="A15" s="60">
        <v>510</v>
      </c>
      <c r="B15" s="61" t="s">
        <v>44</v>
      </c>
      <c r="C15" s="59"/>
      <c r="D15" s="59"/>
      <c r="E15" s="59"/>
      <c r="F15" s="62">
        <v>1</v>
      </c>
      <c r="G15" s="63">
        <v>2</v>
      </c>
    </row>
    <row r="16" spans="1:7" x14ac:dyDescent="0.25">
      <c r="A16" s="51"/>
      <c r="B16" s="52"/>
      <c r="C16" s="50"/>
      <c r="D16" s="50"/>
      <c r="E16" s="50"/>
      <c r="F16" s="53"/>
      <c r="G16" s="54"/>
    </row>
    <row r="17" spans="1:7" x14ac:dyDescent="0.25">
      <c r="A17" s="51"/>
      <c r="B17" s="52"/>
      <c r="C17" s="50"/>
      <c r="D17" s="50"/>
      <c r="E17" s="50"/>
      <c r="F17" s="53"/>
      <c r="G17" s="54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57"/>
      <c r="B9" s="57"/>
      <c r="C9" s="57"/>
      <c r="D9" s="57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57"/>
      <c r="B12" s="57"/>
      <c r="C12" s="57"/>
      <c r="D12" s="57"/>
      <c r="E12" s="57"/>
      <c r="F12" s="57"/>
      <c r="G12" s="57"/>
      <c r="H12" s="57"/>
    </row>
    <row r="13" spans="1:8" ht="15" customHeight="1" x14ac:dyDescent="0.25">
      <c r="A13" s="57"/>
      <c r="B13" s="57"/>
      <c r="C13" s="57"/>
      <c r="D13" s="57"/>
      <c r="E13" s="57"/>
      <c r="F13" s="22"/>
      <c r="G13" s="25"/>
    </row>
    <row r="14" spans="1:8" x14ac:dyDescent="0.25">
      <c r="A14" s="22"/>
    </row>
    <row r="15" spans="1:8" x14ac:dyDescent="0.25">
      <c r="A15" s="57"/>
      <c r="B15" s="57"/>
      <c r="C15" s="57"/>
      <c r="D15" s="57"/>
      <c r="E15" s="57"/>
      <c r="F15" s="57"/>
      <c r="G15" s="57"/>
      <c r="H15" s="57"/>
    </row>
    <row r="16" spans="1:8" ht="15" customHeight="1" x14ac:dyDescent="0.25">
      <c r="A16" s="57"/>
      <c r="B16" s="57"/>
      <c r="C16" s="57"/>
      <c r="D16" s="57"/>
      <c r="E16" s="57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57"/>
      <c r="B544" s="57"/>
      <c r="C544" s="57"/>
      <c r="D544" s="57"/>
      <c r="E544" s="57"/>
      <c r="F544" s="57"/>
      <c r="G544" s="57"/>
      <c r="H544" s="57"/>
    </row>
    <row r="545" spans="1:8" ht="15" customHeight="1" x14ac:dyDescent="0.25">
      <c r="A545" s="57"/>
      <c r="B545" s="57"/>
      <c r="C545" s="57"/>
      <c r="D545" s="57"/>
      <c r="E545" s="57"/>
      <c r="F545" s="22"/>
      <c r="G545" s="25"/>
    </row>
    <row r="546" spans="1:8" x14ac:dyDescent="0.25">
      <c r="A546" s="22"/>
    </row>
    <row r="547" spans="1:8" x14ac:dyDescent="0.25">
      <c r="A547" s="57"/>
      <c r="B547" s="57"/>
      <c r="C547" s="57"/>
      <c r="D547" s="57"/>
      <c r="E547" s="57"/>
      <c r="F547" s="57"/>
      <c r="G547" s="57"/>
      <c r="H547" s="57"/>
    </row>
    <row r="548" spans="1:8" ht="15" customHeight="1" x14ac:dyDescent="0.25">
      <c r="A548" s="57"/>
      <c r="B548" s="57"/>
      <c r="C548" s="57"/>
      <c r="D548" s="57"/>
      <c r="E548" s="57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57"/>
      <c r="B729" s="57"/>
      <c r="C729" s="57"/>
      <c r="D729" s="57"/>
      <c r="E729" s="57"/>
      <c r="F729" s="57"/>
      <c r="G729" s="57"/>
      <c r="H729" s="57"/>
    </row>
    <row r="730" spans="1:8" ht="15" customHeight="1" x14ac:dyDescent="0.25">
      <c r="A730" s="57"/>
      <c r="B730" s="57"/>
      <c r="C730" s="57"/>
      <c r="D730" s="57"/>
      <c r="E730" s="57"/>
      <c r="F730" s="22"/>
      <c r="G730" s="25"/>
    </row>
    <row r="731" spans="1:8" x14ac:dyDescent="0.25">
      <c r="A731" s="22"/>
    </row>
    <row r="732" spans="1:8" x14ac:dyDescent="0.25">
      <c r="A732" s="57"/>
      <c r="B732" s="57"/>
      <c r="C732" s="57"/>
      <c r="D732" s="57"/>
      <c r="E732" s="57"/>
      <c r="F732" s="57"/>
      <c r="G732" s="57"/>
      <c r="H732" s="57"/>
    </row>
    <row r="733" spans="1:8" ht="15" customHeight="1" x14ac:dyDescent="0.25">
      <c r="A733" s="57"/>
      <c r="B733" s="57"/>
      <c r="C733" s="57"/>
      <c r="D733" s="57"/>
      <c r="E733" s="57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11" sqref="I11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58" t="s">
        <v>0</v>
      </c>
      <c r="B1" s="58"/>
      <c r="C1" s="58"/>
      <c r="D1" s="58"/>
      <c r="E1" s="58"/>
      <c r="F1" s="58"/>
      <c r="G1" s="58"/>
      <c r="I1" s="17" t="s">
        <v>54</v>
      </c>
      <c r="J1" s="18">
        <f>G10</f>
        <v>-628</v>
      </c>
      <c r="L1" s="39" t="s">
        <v>88</v>
      </c>
      <c r="M1" s="40">
        <f>22+20+18+8</f>
        <v>68</v>
      </c>
      <c r="O1" s="46" t="s">
        <v>7</v>
      </c>
      <c r="P1" s="47"/>
    </row>
    <row r="2" spans="1:16" ht="18.75" x14ac:dyDescent="0.4">
      <c r="A2" s="58"/>
      <c r="B2" s="58"/>
      <c r="C2" s="58"/>
      <c r="D2" s="58"/>
      <c r="E2" s="58"/>
      <c r="F2" s="58"/>
      <c r="G2" s="58"/>
      <c r="I2" s="13" t="s">
        <v>60</v>
      </c>
      <c r="J2" s="14">
        <f>D54*-1</f>
        <v>-81.7</v>
      </c>
      <c r="L2" s="41" t="s">
        <v>61</v>
      </c>
      <c r="M2" s="39">
        <f>J1+M1</f>
        <v>-560</v>
      </c>
      <c r="O2" s="46" t="s">
        <v>91</v>
      </c>
      <c r="P2" s="47"/>
    </row>
    <row r="3" spans="1:16" ht="18.75" x14ac:dyDescent="0.4">
      <c r="A3" s="58"/>
      <c r="B3" s="58"/>
      <c r="C3" s="58"/>
      <c r="D3" s="58"/>
      <c r="E3" s="58"/>
      <c r="F3" s="58"/>
      <c r="G3" s="58"/>
      <c r="I3" s="15" t="s">
        <v>53</v>
      </c>
      <c r="J3" s="16">
        <f>G54+J1+J2</f>
        <v>97060.64999999998</v>
      </c>
      <c r="O3" s="46" t="s">
        <v>89</v>
      </c>
      <c r="P3" s="56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8" t="s">
        <v>90</v>
      </c>
      <c r="P4" s="49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3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-628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-628</v>
      </c>
      <c r="J10" s="44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6.9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6.9</v>
      </c>
      <c r="J11" s="45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3.75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3.75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13522.17</v>
      </c>
      <c r="D22" s="3">
        <f>IFERROR(INDEX('SubDept Coupon (Local Discount)'!G$1:G$100,MATCH('SubDept Sales Report'!A22,'SubDept Coupon (Local Discount)'!A$1:A$100,0)),0)</f>
        <v>6.46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13528.63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10256.959999999999</v>
      </c>
      <c r="D23" s="3">
        <f>IFERROR(INDEX('SubDept Coupon (Local Discount)'!G$1:G$100,MATCH('SubDept Sales Report'!A23,'SubDept Coupon (Local Discount)'!A$1:A$100,0)),0)</f>
        <v>22.72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10279.679999999998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2758.77</v>
      </c>
      <c r="D24" s="3">
        <f>IFERROR(INDEX('SubDept Coupon (Local Discount)'!G$1:G$100,MATCH('SubDept Sales Report'!A24,'SubDept Coupon (Local Discount)'!A$1:A$100,0)),0)</f>
        <v>1.1599999999999999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2759.93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9544.33</v>
      </c>
      <c r="D25" s="3">
        <f>IFERROR(INDEX('SubDept Coupon (Local Discount)'!G$1:G$100,MATCH('SubDept Sales Report'!A25,'SubDept Coupon (Local Discount)'!A$1:A$100,0)),0)</f>
        <v>3.9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9548.23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718.69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718.69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1997.62</v>
      </c>
      <c r="D27" s="3">
        <f>IFERROR(INDEX('SubDept Coupon (Local Discount)'!G$1:G$100,MATCH('SubDept Sales Report'!A27,'SubDept Coupon (Local Discount)'!A$1:A$100,0)),0)</f>
        <v>10.18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2007.8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772.19</v>
      </c>
      <c r="D28" s="3">
        <f>IFERROR(INDEX('SubDept Coupon (Local Discount)'!G$1:G$100,MATCH('SubDept Sales Report'!A28,'SubDept Coupon (Local Discount)'!A$1:A$100,0)),0)</f>
        <v>5.65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777.84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249.77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249.77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859.59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859.59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9879.6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9879.6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2552.64</v>
      </c>
      <c r="D33" s="3">
        <f>IFERROR(INDEX('SubDept Coupon (Local Discount)'!G$1:G$100,MATCH('SubDept Sales Report'!A33,'SubDept Coupon (Local Discount)'!A$1:A$100,0)),0)</f>
        <v>1.1000000000000001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2553.7399999999998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424.91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424.91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807.28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807.28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726.96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726.96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1016.26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1016.26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5296.72</v>
      </c>
      <c r="D39" s="3">
        <f>IFERROR(INDEX('SubDept Coupon (Local Discount)'!G$1:G$100,MATCH('SubDept Sales Report'!A39,'SubDept Coupon (Local Discount)'!A$1:A$100,0)),0)</f>
        <v>7.51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5304.2300000000005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6655.09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6655.09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1737.86</v>
      </c>
      <c r="D41" s="3">
        <f>IFERROR(INDEX('SubDept Coupon (Local Discount)'!G$1:G$100,MATCH('SubDept Sales Report'!A41,'SubDept Coupon (Local Discount)'!A$1:A$100,0)),0)</f>
        <v>2.5299999999999998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1740.3899999999999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1836.84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1836.84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1583.01</v>
      </c>
      <c r="D43" s="3">
        <f>IFERROR(INDEX('SubDept Coupon (Local Discount)'!G$1:G$100,MATCH('SubDept Sales Report'!A43,'SubDept Coupon (Local Discount)'!A$1:A$100,0)),0)</f>
        <v>2.4500000000000002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1585.46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15043.11</v>
      </c>
      <c r="D44" s="3">
        <f>IFERROR(INDEX('SubDept Coupon (Local Discount)'!G$1:G$100,MATCH('SubDept Sales Report'!A44,'SubDept Coupon (Local Discount)'!A$1:A$100,0)),0)</f>
        <v>2.0499999999999998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15045.16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2212.66</v>
      </c>
      <c r="D45" s="3">
        <f>IFERROR(INDEX('SubDept Coupon (Local Discount)'!G$1:G$100,MATCH('SubDept Sales Report'!A45,'SubDept Coupon (Local Discount)'!A$1:A$100,0)),0)</f>
        <v>13.99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2226.6499999999996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2153.84</v>
      </c>
      <c r="D46" s="3">
        <f>IFERROR(INDEX('SubDept Coupon (Local Discount)'!G$1:G$100,MATCH('SubDept Sales Report'!A46,'SubDept Coupon (Local Discount)'!A$1:A$100,0)),0)</f>
        <v>2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2155.84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4888.33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4888.33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26.93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26.93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155.87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155.87</v>
      </c>
      <c r="I53" s="12"/>
      <c r="J53" s="3"/>
      <c r="K53" s="3"/>
    </row>
    <row r="54" spans="1:11" x14ac:dyDescent="0.25">
      <c r="B54" s="19" t="s">
        <v>52</v>
      </c>
      <c r="C54" s="3">
        <f>SUM(C5:C53)</f>
        <v>97060.64999999998</v>
      </c>
      <c r="D54" s="11">
        <f>SUM(D5:D53)</f>
        <v>81.7</v>
      </c>
      <c r="E54" s="11">
        <f>SUM(E5:E53)</f>
        <v>0</v>
      </c>
      <c r="F54" s="11">
        <f>SUM(F5:F53)</f>
        <v>0</v>
      </c>
      <c r="G54" s="38">
        <f>SUM(G11:G53,G9,G8,G7,G6,G5)</f>
        <v>97770.349999999977</v>
      </c>
      <c r="I54" s="12"/>
      <c r="J54" s="3"/>
      <c r="K54" s="3"/>
    </row>
  </sheetData>
  <autoFilter ref="A4:G54" xr:uid="{459199FD-0CD3-4C93-B98C-3BA614742282}">
    <filterColumn colId="6">
      <filters>
        <filter val="$(628.00)"/>
        <filter val="$1,016.26"/>
        <filter val="$1,585.46"/>
        <filter val="$1,740.39"/>
        <filter val="$1,836.84"/>
        <filter val="$10,279.68"/>
        <filter val="$13,528.63"/>
        <filter val="$15,045.16"/>
        <filter val="$155.87"/>
        <filter val="$2,007.80"/>
        <filter val="$2,155.84"/>
        <filter val="$2,226.65"/>
        <filter val="$2,553.74"/>
        <filter val="$2,759.93"/>
        <filter val="$249.77"/>
        <filter val="$26.93"/>
        <filter val="$3.75"/>
        <filter val="$4,888.33"/>
        <filter val="$424.91"/>
        <filter val="$5,304.23"/>
        <filter val="$6,655.09"/>
        <filter val="$6.90"/>
        <filter val="$718.69"/>
        <filter val="$726.96"/>
        <filter val="$777.84"/>
        <filter val="$807.28"/>
        <filter val="$859.59"/>
        <filter val="$9,548.23"/>
        <filter val="$9,879.60"/>
        <filter val="$97,770.35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2026-07-10T13:39:51Z</dcterms:modified>
</cp:coreProperties>
</file>