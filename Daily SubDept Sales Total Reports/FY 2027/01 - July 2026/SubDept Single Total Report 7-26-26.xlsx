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2C17743D-D604-40C5-B8CE-016CB1721E2C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<sst xmlns="http://schemas.openxmlformats.org/spreadsheetml/2006/main" count="141" uniqueCount="92">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</sst>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1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27</v>
      </c>
      <c r="B1" s="58" t="s">
        <v>11</v>
      </c>
      <c r="C1" s="56"/>
      <c r="D1" s="56"/>
      <c r="E1" s="56"/>
      <c r="F1" s="56"/>
      <c r="G1" s="59">
        <v>-491.08</v>
      </c>
    </row>
    <row r="2" spans="1:7" x14ac:dyDescent="0.25">
      <c r="A2" s="57">
        <v>28</v>
      </c>
      <c r="B2" s="58" t="s">
        <v>12</v>
      </c>
      <c r="C2" s="56"/>
      <c r="D2" s="56"/>
      <c r="E2" s="56"/>
      <c r="F2" s="60">
        <v>121</v>
      </c>
      <c r="G2" s="61">
        <v>12.1</v>
      </c>
    </row>
    <row r="3" spans="1:7" x14ac:dyDescent="0.25">
      <c r="A3" s="57">
        <v>38</v>
      </c>
      <c r="B3" s="58" t="s">
        <v>55</v>
      </c>
      <c r="C3" s="56"/>
      <c r="D3" s="56"/>
      <c r="E3" s="56"/>
      <c r="F3" s="60">
        <v>123</v>
      </c>
      <c r="G3" s="62">
        <v>6.15</v>
      </c>
    </row>
    <row r="4" spans="1:7" x14ac:dyDescent="0.25">
      <c r="A4" s="57">
        <v>110</v>
      </c>
      <c r="B4" s="58" t="s">
        <v>22</v>
      </c>
      <c r="C4" s="56"/>
      <c r="D4" s="56"/>
      <c r="E4" s="56"/>
      <c r="F4" s="60">
        <v>3345</v>
      </c>
      <c r="G4" s="63">
        <v>16335.76</v>
      </c>
    </row>
    <row r="5" spans="1:7" x14ac:dyDescent="0.25">
      <c r="A5" s="57">
        <v>120</v>
      </c>
      <c r="B5" s="58" t="s">
        <v>23</v>
      </c>
      <c r="C5" s="56"/>
      <c r="D5" s="56"/>
      <c r="E5" s="56"/>
      <c r="F5" s="60">
        <v>2452</v>
      </c>
      <c r="G5" s="63">
        <v>12482.07</v>
      </c>
    </row>
    <row r="6" spans="1:7" x14ac:dyDescent="0.25">
      <c r="A6" s="57">
        <v>130</v>
      </c>
      <c r="B6" s="58" t="s">
        <v>24</v>
      </c>
      <c r="C6" s="56"/>
      <c r="D6" s="56"/>
      <c r="E6" s="56"/>
      <c r="F6" s="60">
        <v>561</v>
      </c>
      <c r="G6" s="64">
        <v>3733.12</v>
      </c>
    </row>
    <row r="7" spans="1:7" x14ac:dyDescent="0.25">
      <c r="A7" s="57">
        <v>140</v>
      </c>
      <c r="B7" s="58" t="s">
        <v>25</v>
      </c>
      <c r="C7" s="56"/>
      <c r="D7" s="56"/>
      <c r="E7" s="56"/>
      <c r="F7" s="60">
        <v>1567</v>
      </c>
      <c r="G7" s="64">
        <v>10479.530000000001</v>
      </c>
    </row>
    <row r="8" spans="1:7" x14ac:dyDescent="0.25">
      <c r="A8" s="57">
        <v>142</v>
      </c>
      <c r="B8" s="58" t="s">
        <v>26</v>
      </c>
      <c r="C8" s="56"/>
      <c r="D8" s="56"/>
      <c r="E8" s="56"/>
      <c r="F8" s="60">
        <v>203</v>
      </c>
      <c r="G8" s="59">
        <v>751.05</v>
      </c>
    </row>
    <row r="9" spans="1:7" x14ac:dyDescent="0.25">
      <c r="A9" s="57">
        <v>150</v>
      </c>
      <c r="B9" s="58" t="s">
        <v>27</v>
      </c>
      <c r="C9" s="56"/>
      <c r="D9" s="56"/>
      <c r="E9" s="56"/>
      <c r="F9" s="60">
        <v>449</v>
      </c>
      <c r="G9" s="64">
        <v>2622.58</v>
      </c>
    </row>
    <row r="10" spans="1:7" x14ac:dyDescent="0.25">
      <c r="A10" s="57">
        <v>160</v>
      </c>
      <c r="B10" s="58" t="s">
        <v>28</v>
      </c>
      <c r="C10" s="56"/>
      <c r="D10" s="56"/>
      <c r="E10" s="56"/>
      <c r="F10" s="60">
        <v>83</v>
      </c>
      <c r="G10" s="59">
        <v>921.5</v>
      </c>
    </row>
    <row r="11" spans="1:7" x14ac:dyDescent="0.25">
      <c r="A11" s="57">
        <v>180</v>
      </c>
      <c r="B11" s="58" t="s">
        <v>30</v>
      </c>
      <c r="C11" s="56"/>
      <c r="D11" s="56"/>
      <c r="E11" s="56"/>
      <c r="F11" s="60">
        <v>84</v>
      </c>
      <c r="G11" s="59">
        <v>243.89</v>
      </c>
    </row>
    <row r="12" spans="1:7" x14ac:dyDescent="0.25">
      <c r="A12" s="57">
        <v>190</v>
      </c>
      <c r="B12" s="58" t="s">
        <v>31</v>
      </c>
      <c r="C12" s="56"/>
      <c r="D12" s="56"/>
      <c r="E12" s="56"/>
      <c r="F12" s="60">
        <v>112</v>
      </c>
      <c r="G12" s="59">
        <v>841.08</v>
      </c>
    </row>
    <row r="13" spans="1:7" x14ac:dyDescent="0.25">
      <c r="A13" s="57">
        <v>210</v>
      </c>
      <c r="B13" s="58" t="s">
        <v>32</v>
      </c>
      <c r="C13" s="56"/>
      <c r="D13" s="56"/>
      <c r="E13" s="56"/>
      <c r="F13" s="60">
        <v>1050</v>
      </c>
      <c r="G13" s="64">
        <v>8898.06</v>
      </c>
    </row>
    <row r="14" spans="1:7" x14ac:dyDescent="0.25">
      <c r="A14" s="57">
        <v>220</v>
      </c>
      <c r="B14" s="58" t="s">
        <v>33</v>
      </c>
      <c r="C14" s="56"/>
      <c r="D14" s="56"/>
      <c r="E14" s="56"/>
      <c r="F14" s="60">
        <v>721</v>
      </c>
      <c r="G14" s="64">
        <v>2622.92</v>
      </c>
    </row>
    <row r="15" spans="1:7" x14ac:dyDescent="0.25">
      <c r="A15" s="57">
        <v>230</v>
      </c>
      <c r="B15" s="58" t="s">
        <v>34</v>
      </c>
      <c r="C15" s="56"/>
      <c r="D15" s="56"/>
      <c r="E15" s="56"/>
      <c r="F15" s="60">
        <v>1</v>
      </c>
      <c r="G15" s="61">
        <v>24</v>
      </c>
    </row>
    <row r="16" spans="1:7" x14ac:dyDescent="0.25">
      <c r="A16" s="57">
        <v>235</v>
      </c>
      <c r="B16" s="58" t="s">
        <v>59</v>
      </c>
      <c r="C16" s="56"/>
      <c r="D16" s="56"/>
      <c r="E16" s="56"/>
      <c r="F16" s="60">
        <v>44</v>
      </c>
      <c r="G16" s="59">
        <v>538.55999999999995</v>
      </c>
    </row>
    <row r="17" spans="1:7" x14ac:dyDescent="0.25">
      <c r="A17" s="57">
        <v>240</v>
      </c>
      <c r="B17" s="58" t="s">
        <v>35</v>
      </c>
      <c r="C17" s="56"/>
      <c r="D17" s="56"/>
      <c r="E17" s="56"/>
      <c r="F17" s="60">
        <v>242</v>
      </c>
      <c r="G17" s="59">
        <v>947.63</v>
      </c>
    </row>
    <row r="18" spans="1:7" x14ac:dyDescent="0.25">
      <c r="A18" s="57">
        <v>250</v>
      </c>
      <c r="B18" s="58" t="s">
        <v>36</v>
      </c>
      <c r="C18" s="56"/>
      <c r="D18" s="56"/>
      <c r="E18" s="56"/>
      <c r="F18" s="56">
        <v>1</v>
      </c>
      <c r="G18" s="56">
        <v>3.29</v>
      </c>
    </row>
    <row r="19" spans="1:7" x14ac:dyDescent="0.25">
      <c r="A19" s="57">
        <v>310</v>
      </c>
      <c r="B19" s="58" t="s">
        <v>37</v>
      </c>
      <c r="C19" s="56"/>
      <c r="D19" s="56"/>
      <c r="E19" s="56"/>
      <c r="F19" s="60">
        <v>898</v>
      </c>
      <c r="G19" s="64">
        <v>5414.56</v>
      </c>
    </row>
    <row r="20" spans="1:7" x14ac:dyDescent="0.25">
      <c r="A20" s="57">
        <v>320</v>
      </c>
      <c r="B20" s="58" t="s">
        <v>38</v>
      </c>
      <c r="C20" s="56"/>
      <c r="D20" s="56"/>
      <c r="E20" s="56"/>
      <c r="F20" s="60">
        <v>1007</v>
      </c>
      <c r="G20" s="64">
        <v>10463.24</v>
      </c>
    </row>
    <row r="21" spans="1:7" x14ac:dyDescent="0.25">
      <c r="A21" s="57">
        <v>330</v>
      </c>
      <c r="B21" s="58" t="s">
        <v>39</v>
      </c>
      <c r="C21" s="56"/>
      <c r="D21" s="56"/>
      <c r="E21" s="56"/>
      <c r="F21" s="60">
        <v>225</v>
      </c>
      <c r="G21" s="64">
        <v>2051.81</v>
      </c>
    </row>
    <row r="22" spans="1:7" x14ac:dyDescent="0.25">
      <c r="A22" s="57">
        <v>340</v>
      </c>
      <c r="B22" s="58" t="s">
        <v>40</v>
      </c>
      <c r="C22" s="56"/>
      <c r="D22" s="56"/>
      <c r="E22" s="56"/>
      <c r="F22" s="60">
        <v>186</v>
      </c>
      <c r="G22" s="64">
        <v>2645.84</v>
      </c>
    </row>
    <row r="23" spans="1:7" x14ac:dyDescent="0.25">
      <c r="A23" s="57">
        <v>350</v>
      </c>
      <c r="B23" s="58" t="s">
        <v>41</v>
      </c>
      <c r="C23" s="56"/>
      <c r="D23" s="56"/>
      <c r="E23" s="56"/>
      <c r="F23" s="60">
        <v>137</v>
      </c>
      <c r="G23" s="64">
        <v>1372.15</v>
      </c>
    </row>
    <row r="24" spans="1:7" x14ac:dyDescent="0.25">
      <c r="A24" s="57">
        <v>410</v>
      </c>
      <c r="B24" s="58" t="s">
        <v>42</v>
      </c>
      <c r="C24" s="56"/>
      <c r="D24" s="56"/>
      <c r="E24" s="56"/>
      <c r="F24" s="60">
        <v>5397</v>
      </c>
      <c r="G24" s="63">
        <v>19001.78</v>
      </c>
    </row>
    <row r="25" spans="1:7" x14ac:dyDescent="0.25">
      <c r="A25" s="57">
        <v>420</v>
      </c>
      <c r="B25" s="58" t="s">
        <v>43</v>
      </c>
      <c r="C25" s="56"/>
      <c r="D25" s="56"/>
      <c r="E25" s="56"/>
      <c r="F25" s="60">
        <v>335</v>
      </c>
      <c r="G25" s="64">
        <v>2188.37</v>
      </c>
    </row>
    <row r="26" spans="1:7" x14ac:dyDescent="0.25">
      <c r="A26" s="57">
        <v>510</v>
      </c>
      <c r="B26" s="58" t="s">
        <v>44</v>
      </c>
      <c r="C26" s="56"/>
      <c r="D26" s="56"/>
      <c r="E26" s="56"/>
      <c r="F26" s="60">
        <v>342</v>
      </c>
      <c r="G26" s="64">
        <v>2762.29</v>
      </c>
    </row>
    <row r="27" spans="1:7" x14ac:dyDescent="0.25">
      <c r="A27" s="57">
        <v>520</v>
      </c>
      <c r="B27" s="58" t="s">
        <v>45</v>
      </c>
      <c r="C27" s="56"/>
      <c r="D27" s="56"/>
      <c r="E27" s="56"/>
      <c r="F27" s="60">
        <v>234</v>
      </c>
      <c r="G27" s="64">
        <v>4631.58</v>
      </c>
    </row>
    <row r="28" spans="1:7" x14ac:dyDescent="0.25">
      <c r="A28" s="57">
        <v>550</v>
      </c>
      <c r="B28" s="58" t="s">
        <v>48</v>
      </c>
      <c r="C28" s="56"/>
      <c r="D28" s="56"/>
      <c r="E28" s="56"/>
      <c r="F28" s="60">
        <v>3</v>
      </c>
      <c r="G28" s="61">
        <v>31.93</v>
      </c>
    </row>
    <row r="29" spans="1:7" x14ac:dyDescent="0.25">
      <c r="A29" s="57">
        <v>999</v>
      </c>
      <c r="B29" s="58" t="s">
        <v>50</v>
      </c>
      <c r="C29" s="56"/>
      <c r="D29" s="56"/>
      <c r="E29" s="56"/>
      <c r="F29" s="60">
        <v>1</v>
      </c>
      <c r="G29" s="61">
        <v>3.29</v>
      </c>
    </row>
    <row r="30" spans="1:7" x14ac:dyDescent="0.25">
      <c r="A30" s="50">
        <v>1300</v>
      </c>
      <c r="B30" s="51" t="s">
        <v>51</v>
      </c>
      <c r="C30" s="49"/>
      <c r="D30" s="49"/>
      <c r="E30" s="49"/>
      <c r="F30" s="52">
        <v>26</v>
      </c>
      <c r="G30" s="54">
        <v>117.81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D25" sqref="D25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60">
        <v>16</v>
      </c>
      <c r="G1" s="61">
        <v>10.95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60">
        <v>37</v>
      </c>
      <c r="G2" s="61">
        <v>25.71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60">
        <v>5</v>
      </c>
      <c r="G3" s="62">
        <v>2.48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2">
        <v>6.87</v>
      </c>
      <c r="G4" s="62">
        <v>1.1499999999999999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60">
        <v>142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60">
        <v>37</v>
      </c>
      <c r="G6" s="61">
        <v>17.37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60">
        <v>10</v>
      </c>
      <c r="G7" s="62">
        <v>14.57</v>
      </c>
    </row>
    <row r="8" spans="1:7" x14ac:dyDescent="0.25">
      <c r="A8" s="57">
        <v>180</v>
      </c>
      <c r="B8" s="58" t="s">
        <v>30</v>
      </c>
      <c r="C8" s="56"/>
      <c r="D8" s="56"/>
      <c r="E8" s="56"/>
      <c r="F8" s="60">
        <v>2</v>
      </c>
      <c r="G8" s="56">
        <v>2.17</v>
      </c>
    </row>
    <row r="9" spans="1:7" x14ac:dyDescent="0.25">
      <c r="A9" s="57">
        <v>210</v>
      </c>
      <c r="B9" s="58" t="s">
        <v>32</v>
      </c>
      <c r="C9" s="56"/>
      <c r="D9" s="56"/>
      <c r="E9" s="56"/>
      <c r="F9" s="60">
        <v>23</v>
      </c>
      <c r="G9" s="62"/>
    </row>
    <row r="10" spans="1:7" x14ac:dyDescent="0.25">
      <c r="A10" s="57">
        <v>220</v>
      </c>
      <c r="B10" s="58" t="s">
        <v>33</v>
      </c>
      <c r="C10" s="56"/>
      <c r="D10" s="56"/>
      <c r="E10" s="56"/>
      <c r="F10" s="60">
        <v>5</v>
      </c>
      <c r="G10" s="62">
        <v>3.97</v>
      </c>
    </row>
    <row r="11" spans="1:7" x14ac:dyDescent="0.25">
      <c r="A11" s="57">
        <v>310</v>
      </c>
      <c r="B11" s="58" t="s">
        <v>37</v>
      </c>
      <c r="C11" s="56"/>
      <c r="D11" s="56"/>
      <c r="E11" s="56"/>
      <c r="F11" s="60">
        <v>7</v>
      </c>
      <c r="G11" s="62">
        <v>3.77</v>
      </c>
    </row>
    <row r="12" spans="1:7" x14ac:dyDescent="0.25">
      <c r="A12" s="57">
        <v>330</v>
      </c>
      <c r="B12" s="58" t="s">
        <v>39</v>
      </c>
      <c r="C12" s="56"/>
      <c r="D12" s="56"/>
      <c r="E12" s="56"/>
      <c r="F12" s="60">
        <v>7</v>
      </c>
      <c r="G12" s="62">
        <v>9.4</v>
      </c>
    </row>
    <row r="13" spans="1:7" x14ac:dyDescent="0.25">
      <c r="A13" s="57">
        <v>350</v>
      </c>
      <c r="B13" s="58" t="s">
        <v>41</v>
      </c>
      <c r="C13" s="56"/>
      <c r="D13" s="56"/>
      <c r="E13" s="56"/>
      <c r="F13" s="60">
        <v>1</v>
      </c>
      <c r="G13" s="62">
        <v>1.95</v>
      </c>
    </row>
    <row r="14" spans="1:7" x14ac:dyDescent="0.25">
      <c r="A14" s="57">
        <v>410</v>
      </c>
      <c r="B14" s="58" t="s">
        <v>42</v>
      </c>
      <c r="C14" s="56"/>
      <c r="D14" s="56"/>
      <c r="E14" s="56"/>
      <c r="F14" s="60">
        <v>4</v>
      </c>
      <c r="G14" s="62">
        <v>0.92</v>
      </c>
    </row>
    <row r="15" spans="1:7" x14ac:dyDescent="0.25">
      <c r="A15" s="57">
        <v>420</v>
      </c>
      <c r="B15" s="58" t="s">
        <v>43</v>
      </c>
      <c r="C15" s="56"/>
      <c r="D15" s="56"/>
      <c r="E15" s="56"/>
      <c r="F15" s="60">
        <v>1</v>
      </c>
      <c r="G15" s="62">
        <v>8.99</v>
      </c>
    </row>
    <row r="16" spans="1:7" x14ac:dyDescent="0.25">
      <c r="A16" s="50">
        <v>510</v>
      </c>
      <c r="B16" s="51" t="s">
        <v>44</v>
      </c>
      <c r="C16" s="49"/>
      <c r="D16" s="49"/>
      <c r="E16" s="49"/>
      <c r="F16" s="52">
        <v>3</v>
      </c>
      <c r="G16" s="53">
        <v>1.87</v>
      </c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O25" sqref="O25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-491.08</v>
      </c>
      <c r="L1" s="39" t="s">
        <v>88</v>
      </c>
      <c r="M1" s="40">
        <f>26+24+6+16</f>
        <v>72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-105.27</v>
      </c>
      <c r="L2" s="41" t="s">
        <v>61</v>
      </c>
      <c r="M2" s="39">
        <f>J1+M1</f>
        <v>-419.08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111656.85999999999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-491.08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69">
        <f>C10+D10</f>
        <v>-491.08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12.1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69">
        <f t="shared" si="0"/>
        <v>12.1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6.15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69">
        <f t="shared" si="0"/>
        <v>6.15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16335.76</v>
      </c>
      <c r="D22" s="3">
        <f>IFERROR(INDEX('SubDept Coupon (Local Discount)'!G$1:G$100,MATCH('SubDept Sales Report'!A22,'SubDept Coupon (Local Discount)'!A$1:A$100,0)),0)</f>
        <v>10.95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9">
        <f t="shared" si="0"/>
        <v>16346.710000000001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12482.07</v>
      </c>
      <c r="D23" s="3">
        <f>IFERROR(INDEX('SubDept Coupon (Local Discount)'!G$1:G$100,MATCH('SubDept Sales Report'!A23,'SubDept Coupon (Local Discount)'!A$1:A$100,0)),0)</f>
        <v>25.71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9">
        <f t="shared" si="0"/>
        <v>12507.779999999999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3733.12</v>
      </c>
      <c r="D24" s="3">
        <f>IFERROR(INDEX('SubDept Coupon (Local Discount)'!G$1:G$100,MATCH('SubDept Sales Report'!A24,'SubDept Coupon (Local Discount)'!A$1:A$100,0)),0)</f>
        <v>2.48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9">
        <f t="shared" si="0"/>
        <v>3735.6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10479.530000000001</v>
      </c>
      <c r="D25" s="3">
        <f>IFERROR(INDEX('SubDept Coupon (Local Discount)'!G$1:G$100,MATCH('SubDept Sales Report'!A25,'SubDept Coupon (Local Discount)'!A$1:A$100,0)),0)</f>
        <v>1.1499999999999999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9">
        <f t="shared" si="0"/>
        <v>10480.68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751.05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9">
        <f t="shared" si="0"/>
        <v>751.05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2622.58</v>
      </c>
      <c r="D27" s="3">
        <f>IFERROR(INDEX('SubDept Coupon (Local Discount)'!G$1:G$100,MATCH('SubDept Sales Report'!A27,'SubDept Coupon (Local Discount)'!A$1:A$100,0)),0)</f>
        <v>17.37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9">
        <f t="shared" si="0"/>
        <v>2639.95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921.5</v>
      </c>
      <c r="D28" s="3">
        <f>IFERROR(INDEX('SubDept Coupon (Local Discount)'!G$1:G$100,MATCH('SubDept Sales Report'!A28,'SubDept Coupon (Local Discount)'!A$1:A$100,0)),0)</f>
        <v>14.57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9">
        <f t="shared" si="0"/>
        <v>936.07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243.89</v>
      </c>
      <c r="D30" s="3">
        <f>IFERROR(INDEX('SubDept Coupon (Local Discount)'!G$1:G$100,MATCH('SubDept Sales Report'!A30,'SubDept Coupon (Local Discount)'!A$1:A$100,0)),0)</f>
        <v>2.17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9">
        <f t="shared" si="0"/>
        <v>246.05999999999997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841.08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9">
        <f t="shared" si="0"/>
        <v>841.08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8898.06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9">
        <f t="shared" si="0"/>
        <v>8898.06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2622.92</v>
      </c>
      <c r="D33" s="3">
        <f>IFERROR(INDEX('SubDept Coupon (Local Discount)'!G$1:G$100,MATCH('SubDept Sales Report'!A33,'SubDept Coupon (Local Discount)'!A$1:A$100,0)),0)</f>
        <v>3.97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9">
        <f t="shared" si="0"/>
        <v>2626.89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24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69">
        <f>C34+D34</f>
        <v>24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538.55999999999995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9">
        <f t="shared" si="0"/>
        <v>538.55999999999995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947.63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9">
        <f t="shared" si="0"/>
        <v>947.63</v>
      </c>
      <c r="I36" s="12"/>
      <c r="J36" s="3"/>
      <c r="K36" s="3"/>
    </row>
    <row r="37" spans="1:11" x14ac:dyDescent="0.25">
      <c r="A37" s="67">
        <v>250</v>
      </c>
      <c r="B37" s="68" t="s">
        <v>36</v>
      </c>
      <c r="C37" s="3">
        <f>IFERROR(INDEX('SubDept Single'!G$1:G$100,MATCH('SubDept Sales Report'!A37,'SubDept Single'!A$1:A$100,0)),0)</f>
        <v>3.29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0">
        <f t="shared" si="0"/>
        <v>3.29</v>
      </c>
      <c r="H37">
        <v>110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5414.56</v>
      </c>
      <c r="D39" s="3">
        <f>IFERROR(INDEX('SubDept Coupon (Local Discount)'!G$1:G$100,MATCH('SubDept Sales Report'!A39,'SubDept Coupon (Local Discount)'!A$1:A$100,0)),0)</f>
        <v>3.77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9">
        <f t="shared" si="0"/>
        <v>5418.3300000000008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10463.24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9">
        <f t="shared" si="0"/>
        <v>10463.24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2051.81</v>
      </c>
      <c r="D41" s="3">
        <f>IFERROR(INDEX('SubDept Coupon (Local Discount)'!G$1:G$100,MATCH('SubDept Sales Report'!A41,'SubDept Coupon (Local Discount)'!A$1:A$100,0)),0)</f>
        <v>9.4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9">
        <f t="shared" si="0"/>
        <v>2061.21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2645.84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9">
        <f t="shared" si="0"/>
        <v>2645.84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1372.15</v>
      </c>
      <c r="D43" s="3">
        <f>IFERROR(INDEX('SubDept Coupon (Local Discount)'!G$1:G$100,MATCH('SubDept Sales Report'!A43,'SubDept Coupon (Local Discount)'!A$1:A$100,0)),0)</f>
        <v>1.95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9">
        <f t="shared" si="0"/>
        <v>1374.1000000000001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19001.78</v>
      </c>
      <c r="D44" s="3">
        <f>IFERROR(INDEX('SubDept Coupon (Local Discount)'!G$1:G$100,MATCH('SubDept Sales Report'!A44,'SubDept Coupon (Local Discount)'!A$1:A$100,0)),0)</f>
        <v>0.92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9">
        <f t="shared" si="0"/>
        <v>19002.699999999997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2188.37</v>
      </c>
      <c r="D45" s="3">
        <f>IFERROR(INDEX('SubDept Coupon (Local Discount)'!G$1:G$100,MATCH('SubDept Sales Report'!A45,'SubDept Coupon (Local Discount)'!A$1:A$100,0)),0)</f>
        <v>8.99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9">
        <f t="shared" si="0"/>
        <v>2197.3599999999997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2762.29</v>
      </c>
      <c r="D46" s="3">
        <f>IFERROR(INDEX('SubDept Coupon (Local Discount)'!G$1:G$100,MATCH('SubDept Sales Report'!A46,'SubDept Coupon (Local Discount)'!A$1:A$100,0)),0)</f>
        <v>1.87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9">
        <f t="shared" si="0"/>
        <v>2764.16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4631.58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9">
        <f t="shared" si="0"/>
        <v>4631.58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31.93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69">
        <f t="shared" si="0"/>
        <v>31.93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x14ac:dyDescent="0.25">
      <c r="A52" s="67">
        <v>999</v>
      </c>
      <c r="B52" s="68" t="s">
        <v>50</v>
      </c>
      <c r="C52" s="3">
        <f>IFERROR(INDEX('SubDept Single'!G$1:G$100,MATCH('SubDept Sales Report'!A52,'SubDept Single'!A$1:A$100,0)),0)</f>
        <v>3.29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70">
        <f t="shared" si="0"/>
        <v>3.29</v>
      </c>
      <c r="H52">
        <v>110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117.81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9">
        <f t="shared" si="0"/>
        <v>117.81</v>
      </c>
      <c r="I53" s="12"/>
      <c r="J53" s="3"/>
      <c r="K53" s="3"/>
    </row>
    <row r="54" spans="1:11" x14ac:dyDescent="0.25">
      <c r="B54" s="19" t="s">
        <v>52</v>
      </c>
      <c r="C54" s="3">
        <f>SUM(C5:C53)</f>
        <v>111656.85999999997</v>
      </c>
      <c r="D54" s="11">
        <f>SUM(D5:D53)</f>
        <v>105.27</v>
      </c>
      <c r="E54" s="11">
        <f>SUM(E5:E53)</f>
        <v>0</v>
      </c>
      <c r="F54" s="11">
        <f>SUM(F5:F53)</f>
        <v>0</v>
      </c>
      <c r="G54" s="38">
        <f>SUM(G11:G53,G9,G8,G7,G6,G5)</f>
        <v>112253.20999999999</v>
      </c>
      <c r="I54" s="12"/>
      <c r="J54" s="3"/>
      <c r="K54" s="3"/>
    </row>
  </sheetData>
  <autoFilter ref="A4:G54" xr:uid="{459199FD-0CD3-4C93-B98C-3BA614742282}">
    <filterColumn colId="6">
      <filters>
        <filter val="$(491.08)"/>
        <filter val="$1,374.10"/>
        <filter val="$10,463.24"/>
        <filter val="$10,480.68"/>
        <filter val="$112,253.21"/>
        <filter val="$117.81"/>
        <filter val="$12,507.78"/>
        <filter val="$12.10"/>
        <filter val="$16,346.71"/>
        <filter val="$19,002.70"/>
        <filter val="$2,061.21"/>
        <filter val="$2,197.36"/>
        <filter val="$2,626.89"/>
        <filter val="$2,639.95"/>
        <filter val="$2,645.84"/>
        <filter val="$2,764.16"/>
        <filter val="$24.00"/>
        <filter val="$246.06"/>
        <filter val="$3,735.60"/>
        <filter val="$3.29"/>
        <filter val="$31.93"/>
        <filter val="$4,631.58"/>
        <filter val="$5,418.33"/>
        <filter val="$538.56"/>
        <filter val="$6.15"/>
        <filter val="$751.05"/>
        <filter val="$8,898.06"/>
        <filter val="$841.08"/>
        <filter val="$936.07"/>
        <filter val="$947.63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2026-07-27T15:28:33Z</dcterms:modified>
</cp:coreProperties>
</file>