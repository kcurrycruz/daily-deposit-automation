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EAC42A3E-6982-4F00-84F6-B47FF62E1FAF}" xr6:coauthVersionLast="47" xr6:coauthVersionMax="47" xr10:uidLastSave="{00000000-0000-0000-0000-000000000000}"/>
  <bookViews>
    <workbookView xWindow="2874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<sst xmlns="http://schemas.openxmlformats.org/spreadsheetml/2006/main" count="139" uniqueCount="92">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</sst>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0" fillId="0" borderId="0"/>
  </cellStyleXfs>
  <cellXfs count="73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64" fontId="20" fillId="0" borderId="0" xfId="11" applyNumberFormat="1" applyFill="1" applyAlignment="1" applyProtection="1">
      <alignment horizontal="righ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7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166" fontId="20" fillId="0" borderId="0" xfId="11" applyNumberFormat="1" applyFill="1" applyAlignment="1" applyProtection="1">
      <alignment horizontal="right" vertical="top"/>
      <protection locked="0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2051E184-3A7D-4968-8E2D-8C04C4403AB9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59">
        <v>27</v>
      </c>
      <c r="B1" s="60" t="s">
        <v>11</v>
      </c>
      <c r="C1" s="58"/>
      <c r="D1" s="58"/>
      <c r="E1" s="58"/>
      <c r="F1" s="58"/>
      <c r="G1" s="61">
        <v>-466.1</v>
      </c>
    </row>
    <row r="2" spans="1:7" x14ac:dyDescent="0.25">
      <c r="A2" s="59">
        <v>28</v>
      </c>
      <c r="B2" s="60" t="s">
        <v>12</v>
      </c>
      <c r="C2" s="58"/>
      <c r="D2" s="58"/>
      <c r="E2" s="58"/>
      <c r="F2" s="62">
        <v>59</v>
      </c>
      <c r="G2" s="63">
        <v>5.9</v>
      </c>
    </row>
    <row r="3" spans="1:7" x14ac:dyDescent="0.25">
      <c r="A3" s="59">
        <v>38</v>
      </c>
      <c r="B3" s="60" t="s">
        <v>55</v>
      </c>
      <c r="C3" s="58"/>
      <c r="D3" s="58"/>
      <c r="E3" s="58"/>
      <c r="F3" s="62">
        <v>62</v>
      </c>
      <c r="G3" s="63">
        <v>3.1</v>
      </c>
    </row>
    <row r="4" spans="1:7" x14ac:dyDescent="0.25">
      <c r="A4" s="59">
        <v>110</v>
      </c>
      <c r="B4" s="60" t="s">
        <v>22</v>
      </c>
      <c r="C4" s="58"/>
      <c r="D4" s="58"/>
      <c r="E4" s="58"/>
      <c r="F4" s="62">
        <v>3097</v>
      </c>
      <c r="G4" s="64">
        <v>14752.27</v>
      </c>
    </row>
    <row r="5" spans="1:7" x14ac:dyDescent="0.25">
      <c r="A5" s="59">
        <v>120</v>
      </c>
      <c r="B5" s="60" t="s">
        <v>23</v>
      </c>
      <c r="C5" s="58"/>
      <c r="D5" s="58"/>
      <c r="E5" s="58"/>
      <c r="F5" s="62">
        <v>2075</v>
      </c>
      <c r="G5" s="64">
        <v>10585.97</v>
      </c>
    </row>
    <row r="6" spans="1:7" x14ac:dyDescent="0.25">
      <c r="A6" s="59">
        <v>130</v>
      </c>
      <c r="B6" s="60" t="s">
        <v>24</v>
      </c>
      <c r="C6" s="58"/>
      <c r="D6" s="58"/>
      <c r="E6" s="58"/>
      <c r="F6" s="62">
        <v>447</v>
      </c>
      <c r="G6" s="66">
        <v>3031.98</v>
      </c>
    </row>
    <row r="7" spans="1:7" x14ac:dyDescent="0.25">
      <c r="A7" s="59">
        <v>140</v>
      </c>
      <c r="B7" s="60" t="s">
        <v>25</v>
      </c>
      <c r="C7" s="58"/>
      <c r="D7" s="58"/>
      <c r="E7" s="58"/>
      <c r="F7" s="62">
        <v>1176</v>
      </c>
      <c r="G7" s="66">
        <v>8418.73</v>
      </c>
    </row>
    <row r="8" spans="1:7" x14ac:dyDescent="0.25">
      <c r="A8" s="59">
        <v>142</v>
      </c>
      <c r="B8" s="60" t="s">
        <v>26</v>
      </c>
      <c r="C8" s="58"/>
      <c r="D8" s="58"/>
      <c r="E8" s="58"/>
      <c r="F8" s="62">
        <v>144</v>
      </c>
      <c r="G8" s="61">
        <v>598.08000000000004</v>
      </c>
    </row>
    <row r="9" spans="1:7" x14ac:dyDescent="0.25">
      <c r="A9" s="59">
        <v>150</v>
      </c>
      <c r="B9" s="60" t="s">
        <v>27</v>
      </c>
      <c r="C9" s="58"/>
      <c r="D9" s="58"/>
      <c r="E9" s="58"/>
      <c r="F9" s="62">
        <v>455</v>
      </c>
      <c r="G9" s="66">
        <v>2695.58</v>
      </c>
    </row>
    <row r="10" spans="1:7" x14ac:dyDescent="0.25">
      <c r="A10" s="59">
        <v>160</v>
      </c>
      <c r="B10" s="60" t="s">
        <v>28</v>
      </c>
      <c r="C10" s="58"/>
      <c r="D10" s="58"/>
      <c r="E10" s="58"/>
      <c r="F10" s="62">
        <v>131</v>
      </c>
      <c r="G10" s="66">
        <v>1339.56</v>
      </c>
    </row>
    <row r="11" spans="1:7" x14ac:dyDescent="0.25">
      <c r="A11" s="59">
        <v>180</v>
      </c>
      <c r="B11" s="60" t="s">
        <v>30</v>
      </c>
      <c r="C11" s="58"/>
      <c r="D11" s="58"/>
      <c r="E11" s="58"/>
      <c r="F11" s="62">
        <v>105</v>
      </c>
      <c r="G11" s="61">
        <v>338.95</v>
      </c>
    </row>
    <row r="12" spans="1:7" x14ac:dyDescent="0.25">
      <c r="A12" s="59">
        <v>190</v>
      </c>
      <c r="B12" s="60" t="s">
        <v>31</v>
      </c>
      <c r="C12" s="58"/>
      <c r="D12" s="58"/>
      <c r="E12" s="58"/>
      <c r="F12" s="62">
        <v>129</v>
      </c>
      <c r="G12" s="61">
        <v>837.31</v>
      </c>
    </row>
    <row r="13" spans="1:7" x14ac:dyDescent="0.25">
      <c r="A13" s="59">
        <v>210</v>
      </c>
      <c r="B13" s="60" t="s">
        <v>32</v>
      </c>
      <c r="C13" s="58"/>
      <c r="D13" s="58"/>
      <c r="E13" s="58"/>
      <c r="F13" s="62">
        <v>1135</v>
      </c>
      <c r="G13" s="66">
        <v>9409.43</v>
      </c>
    </row>
    <row r="14" spans="1:7" x14ac:dyDescent="0.25">
      <c r="A14" s="59">
        <v>220</v>
      </c>
      <c r="B14" s="60" t="s">
        <v>33</v>
      </c>
      <c r="C14" s="58"/>
      <c r="D14" s="58"/>
      <c r="E14" s="58"/>
      <c r="F14" s="62">
        <v>750</v>
      </c>
      <c r="G14" s="66">
        <v>2681.71</v>
      </c>
    </row>
    <row r="15" spans="1:7" x14ac:dyDescent="0.25">
      <c r="A15" s="59">
        <v>230</v>
      </c>
      <c r="B15" s="60" t="s">
        <v>34</v>
      </c>
      <c r="C15" s="58"/>
      <c r="D15" s="58"/>
      <c r="E15" s="58"/>
      <c r="F15" s="62">
        <v>7</v>
      </c>
      <c r="G15" s="61">
        <v>255.95</v>
      </c>
    </row>
    <row r="16" spans="1:7" x14ac:dyDescent="0.25">
      <c r="A16" s="59">
        <v>235</v>
      </c>
      <c r="B16" s="60" t="s">
        <v>59</v>
      </c>
      <c r="C16" s="58"/>
      <c r="D16" s="58"/>
      <c r="E16" s="58"/>
      <c r="F16" s="62">
        <v>61</v>
      </c>
      <c r="G16" s="61">
        <v>739.39</v>
      </c>
    </row>
    <row r="17" spans="1:7" x14ac:dyDescent="0.25">
      <c r="A17" s="59">
        <v>240</v>
      </c>
      <c r="B17" s="60" t="s">
        <v>35</v>
      </c>
      <c r="C17" s="58"/>
      <c r="D17" s="58"/>
      <c r="E17" s="58"/>
      <c r="F17" s="62">
        <v>236</v>
      </c>
      <c r="G17" s="61">
        <v>914.73</v>
      </c>
    </row>
    <row r="18" spans="1:7" x14ac:dyDescent="0.25">
      <c r="A18" s="59">
        <v>250</v>
      </c>
      <c r="B18" s="60" t="s">
        <v>36</v>
      </c>
      <c r="C18" s="58"/>
      <c r="D18" s="58"/>
      <c r="E18" s="58"/>
      <c r="F18" s="62">
        <v>123</v>
      </c>
      <c r="G18" s="61">
        <v>668.58</v>
      </c>
    </row>
    <row r="19" spans="1:7" x14ac:dyDescent="0.25">
      <c r="A19" s="59">
        <v>310</v>
      </c>
      <c r="B19" s="60" t="s">
        <v>37</v>
      </c>
      <c r="C19" s="58"/>
      <c r="D19" s="58"/>
      <c r="E19" s="58"/>
      <c r="F19" s="62">
        <v>752</v>
      </c>
      <c r="G19" s="66">
        <v>4931.38</v>
      </c>
    </row>
    <row r="20" spans="1:7" x14ac:dyDescent="0.25">
      <c r="A20" s="59">
        <v>320</v>
      </c>
      <c r="B20" s="60" t="s">
        <v>38</v>
      </c>
      <c r="C20" s="58"/>
      <c r="D20" s="58"/>
      <c r="E20" s="58"/>
      <c r="F20" s="62">
        <v>702</v>
      </c>
      <c r="G20" s="66">
        <v>7206.39</v>
      </c>
    </row>
    <row r="21" spans="1:7" x14ac:dyDescent="0.25">
      <c r="A21" s="59">
        <v>330</v>
      </c>
      <c r="B21" s="60" t="s">
        <v>39</v>
      </c>
      <c r="C21" s="58"/>
      <c r="D21" s="58"/>
      <c r="E21" s="58"/>
      <c r="F21" s="62">
        <v>234</v>
      </c>
      <c r="G21" s="66">
        <v>1910.88</v>
      </c>
    </row>
    <row r="22" spans="1:7" x14ac:dyDescent="0.25">
      <c r="A22" s="59">
        <v>340</v>
      </c>
      <c r="B22" s="60" t="s">
        <v>40</v>
      </c>
      <c r="C22" s="58"/>
      <c r="D22" s="58"/>
      <c r="E22" s="58"/>
      <c r="F22" s="62">
        <v>165</v>
      </c>
      <c r="G22" s="66">
        <v>2213.67</v>
      </c>
    </row>
    <row r="23" spans="1:7" x14ac:dyDescent="0.25">
      <c r="A23" s="59">
        <v>350</v>
      </c>
      <c r="B23" s="60" t="s">
        <v>41</v>
      </c>
      <c r="C23" s="58"/>
      <c r="D23" s="58"/>
      <c r="E23" s="58"/>
      <c r="F23" s="62">
        <v>139</v>
      </c>
      <c r="G23" s="66">
        <v>1311.32</v>
      </c>
    </row>
    <row r="24" spans="1:7" x14ac:dyDescent="0.25">
      <c r="A24" s="59">
        <v>410</v>
      </c>
      <c r="B24" s="60" t="s">
        <v>42</v>
      </c>
      <c r="C24" s="58"/>
      <c r="D24" s="58"/>
      <c r="E24" s="58"/>
      <c r="F24" s="62">
        <v>4241</v>
      </c>
      <c r="G24" s="64">
        <v>15609.89</v>
      </c>
    </row>
    <row r="25" spans="1:7" x14ac:dyDescent="0.25">
      <c r="A25" s="59">
        <v>420</v>
      </c>
      <c r="B25" s="60" t="s">
        <v>43</v>
      </c>
      <c r="C25" s="58"/>
      <c r="D25" s="58"/>
      <c r="E25" s="58"/>
      <c r="F25" s="62">
        <v>392</v>
      </c>
      <c r="G25" s="66">
        <v>2570.1999999999998</v>
      </c>
    </row>
    <row r="26" spans="1:7" x14ac:dyDescent="0.25">
      <c r="A26" s="59">
        <v>510</v>
      </c>
      <c r="B26" s="60" t="s">
        <v>44</v>
      </c>
      <c r="C26" s="58"/>
      <c r="D26" s="58"/>
      <c r="E26" s="58"/>
      <c r="F26" s="62">
        <v>281</v>
      </c>
      <c r="G26" s="66">
        <v>2264.34</v>
      </c>
    </row>
    <row r="27" spans="1:7" x14ac:dyDescent="0.25">
      <c r="A27" s="59">
        <v>520</v>
      </c>
      <c r="B27" s="60" t="s">
        <v>45</v>
      </c>
      <c r="C27" s="58"/>
      <c r="D27" s="58"/>
      <c r="E27" s="58"/>
      <c r="F27" s="62">
        <v>306</v>
      </c>
      <c r="G27" s="66">
        <v>5448.67</v>
      </c>
    </row>
    <row r="28" spans="1:7" x14ac:dyDescent="0.25">
      <c r="A28" s="59">
        <v>550</v>
      </c>
      <c r="B28" s="60" t="s">
        <v>48</v>
      </c>
      <c r="C28" s="58"/>
      <c r="D28" s="58"/>
      <c r="E28" s="58"/>
      <c r="F28" s="62">
        <v>3</v>
      </c>
      <c r="G28" s="65">
        <v>29.93</v>
      </c>
    </row>
    <row r="29" spans="1:7" x14ac:dyDescent="0.25">
      <c r="A29" s="59">
        <v>1300</v>
      </c>
      <c r="B29" s="60" t="s">
        <v>51</v>
      </c>
      <c r="C29" s="58"/>
      <c r="D29" s="58"/>
      <c r="E29" s="58"/>
      <c r="F29" s="62">
        <v>36</v>
      </c>
      <c r="G29" s="61">
        <v>145.72999999999999</v>
      </c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5"/>
    </sheetView>
  </sheetViews>
  <sheetFormatPr defaultRowHeight="15" x14ac:dyDescent="0.25"/>
  <sheetData>
    <row r="1" spans="1:7" x14ac:dyDescent="0.25">
      <c r="A1" s="68">
        <v>110</v>
      </c>
      <c r="B1" s="69" t="s">
        <v>22</v>
      </c>
      <c r="C1" s="67"/>
      <c r="D1" s="67"/>
      <c r="E1" s="67"/>
      <c r="F1" s="70">
        <v>20</v>
      </c>
      <c r="G1" s="71">
        <v>9.2899999999999991</v>
      </c>
    </row>
    <row r="2" spans="1:7" x14ac:dyDescent="0.25">
      <c r="A2" s="68">
        <v>120</v>
      </c>
      <c r="B2" s="69" t="s">
        <v>23</v>
      </c>
      <c r="C2" s="67"/>
      <c r="D2" s="67"/>
      <c r="E2" s="67"/>
      <c r="F2" s="70">
        <v>56</v>
      </c>
      <c r="G2" s="72">
        <v>32.92</v>
      </c>
    </row>
    <row r="3" spans="1:7" x14ac:dyDescent="0.25">
      <c r="A3" s="68">
        <v>130</v>
      </c>
      <c r="B3" s="69" t="s">
        <v>24</v>
      </c>
      <c r="C3" s="67"/>
      <c r="D3" s="67"/>
      <c r="E3" s="67"/>
      <c r="F3" s="70">
        <v>3</v>
      </c>
      <c r="G3" s="71">
        <v>1.1599999999999999</v>
      </c>
    </row>
    <row r="4" spans="1:7" x14ac:dyDescent="0.25">
      <c r="A4" s="68">
        <v>140</v>
      </c>
      <c r="B4" s="69" t="s">
        <v>25</v>
      </c>
      <c r="C4" s="67"/>
      <c r="D4" s="67"/>
      <c r="E4" s="67"/>
      <c r="F4" s="70">
        <v>1</v>
      </c>
      <c r="G4" s="71">
        <v>3.15</v>
      </c>
    </row>
    <row r="5" spans="1:7" x14ac:dyDescent="0.25">
      <c r="A5" s="68">
        <v>142</v>
      </c>
      <c r="B5" s="69" t="s">
        <v>26</v>
      </c>
      <c r="C5" s="67"/>
      <c r="D5" s="67"/>
      <c r="E5" s="67"/>
      <c r="F5" s="70">
        <v>121</v>
      </c>
      <c r="G5" s="67"/>
    </row>
    <row r="6" spans="1:7" x14ac:dyDescent="0.25">
      <c r="A6" s="68">
        <v>150</v>
      </c>
      <c r="B6" s="69" t="s">
        <v>27</v>
      </c>
      <c r="C6" s="67"/>
      <c r="D6" s="67"/>
      <c r="E6" s="67"/>
      <c r="F6" s="70">
        <v>43</v>
      </c>
      <c r="G6" s="72">
        <v>19.93</v>
      </c>
    </row>
    <row r="7" spans="1:7" x14ac:dyDescent="0.25">
      <c r="A7" s="68">
        <v>160</v>
      </c>
      <c r="B7" s="69" t="s">
        <v>28</v>
      </c>
      <c r="C7" s="67"/>
      <c r="D7" s="67"/>
      <c r="E7" s="67"/>
      <c r="F7" s="70">
        <v>9</v>
      </c>
      <c r="G7" s="71">
        <v>7.23</v>
      </c>
    </row>
    <row r="8" spans="1:7" x14ac:dyDescent="0.25">
      <c r="A8" s="68">
        <v>210</v>
      </c>
      <c r="B8" s="69" t="s">
        <v>32</v>
      </c>
      <c r="C8" s="67"/>
      <c r="D8" s="67"/>
      <c r="E8" s="67"/>
      <c r="F8" s="70">
        <v>25</v>
      </c>
      <c r="G8" s="67"/>
    </row>
    <row r="9" spans="1:7" x14ac:dyDescent="0.25">
      <c r="A9" s="68">
        <v>220</v>
      </c>
      <c r="B9" s="69" t="s">
        <v>33</v>
      </c>
      <c r="C9" s="67"/>
      <c r="D9" s="67"/>
      <c r="E9" s="67"/>
      <c r="F9" s="70">
        <v>3</v>
      </c>
      <c r="G9" s="71">
        <v>2.36</v>
      </c>
    </row>
    <row r="10" spans="1:7" x14ac:dyDescent="0.25">
      <c r="A10" s="68">
        <v>310</v>
      </c>
      <c r="B10" s="69" t="s">
        <v>37</v>
      </c>
      <c r="C10" s="67"/>
      <c r="D10" s="67"/>
      <c r="E10" s="67"/>
      <c r="F10" s="70">
        <v>6</v>
      </c>
      <c r="G10" s="71">
        <v>6.06</v>
      </c>
    </row>
    <row r="11" spans="1:7" x14ac:dyDescent="0.25">
      <c r="A11" s="68">
        <v>330</v>
      </c>
      <c r="B11" s="69" t="s">
        <v>39</v>
      </c>
      <c r="C11" s="67"/>
      <c r="D11" s="67"/>
      <c r="E11" s="67"/>
      <c r="F11" s="70">
        <v>7</v>
      </c>
      <c r="G11" s="72">
        <v>11.89</v>
      </c>
    </row>
    <row r="12" spans="1:7" x14ac:dyDescent="0.25">
      <c r="A12" s="68">
        <v>350</v>
      </c>
      <c r="B12" s="69" t="s">
        <v>41</v>
      </c>
      <c r="C12" s="67"/>
      <c r="D12" s="67"/>
      <c r="E12" s="67"/>
      <c r="F12" s="70">
        <v>1</v>
      </c>
      <c r="G12" s="71">
        <v>1.1000000000000001</v>
      </c>
    </row>
    <row r="13" spans="1:7" x14ac:dyDescent="0.25">
      <c r="A13" s="68">
        <v>410</v>
      </c>
      <c r="B13" s="69" t="s">
        <v>42</v>
      </c>
      <c r="C13" s="67"/>
      <c r="D13" s="67"/>
      <c r="E13" s="67"/>
      <c r="F13" s="70">
        <v>6</v>
      </c>
      <c r="G13" s="71">
        <v>2.12</v>
      </c>
    </row>
    <row r="14" spans="1:7" x14ac:dyDescent="0.25">
      <c r="A14" s="68">
        <v>510</v>
      </c>
      <c r="B14" s="69" t="s">
        <v>44</v>
      </c>
      <c r="C14" s="67"/>
      <c r="D14" s="67"/>
      <c r="E14" s="67"/>
      <c r="F14" s="70">
        <v>2</v>
      </c>
      <c r="G14" s="71">
        <v>1.05</v>
      </c>
    </row>
    <row r="15" spans="1:7" x14ac:dyDescent="0.25">
      <c r="A15" s="68">
        <v>520</v>
      </c>
      <c r="B15" s="69" t="s">
        <v>45</v>
      </c>
      <c r="C15" s="67"/>
      <c r="D15" s="67"/>
      <c r="E15" s="67"/>
      <c r="F15" s="70">
        <v>1</v>
      </c>
      <c r="G15" s="71">
        <v>1.28</v>
      </c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56"/>
      <c r="B9" s="56"/>
      <c r="C9" s="56"/>
      <c r="D9" s="56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56"/>
      <c r="B12" s="56"/>
      <c r="C12" s="56"/>
      <c r="D12" s="56"/>
      <c r="E12" s="56"/>
      <c r="F12" s="56"/>
      <c r="G12" s="56"/>
      <c r="H12" s="56"/>
    </row>
    <row r="13" spans="1:8" ht="15" customHeight="1" x14ac:dyDescent="0.25">
      <c r="A13" s="56"/>
      <c r="B13" s="56"/>
      <c r="C13" s="56"/>
      <c r="D13" s="56"/>
      <c r="E13" s="56"/>
      <c r="F13" s="22"/>
      <c r="G13" s="25"/>
    </row>
    <row r="14" spans="1:8" x14ac:dyDescent="0.25">
      <c r="A14" s="22"/>
    </row>
    <row r="15" spans="1:8" x14ac:dyDescent="0.25">
      <c r="A15" s="56"/>
      <c r="B15" s="56"/>
      <c r="C15" s="56"/>
      <c r="D15" s="56"/>
      <c r="E15" s="56"/>
      <c r="F15" s="56"/>
      <c r="G15" s="56"/>
      <c r="H15" s="56"/>
    </row>
    <row r="16" spans="1:8" ht="15" customHeight="1" x14ac:dyDescent="0.25">
      <c r="A16" s="56"/>
      <c r="B16" s="56"/>
      <c r="C16" s="56"/>
      <c r="D16" s="56"/>
      <c r="E16" s="56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56"/>
      <c r="B544" s="56"/>
      <c r="C544" s="56"/>
      <c r="D544" s="56"/>
      <c r="E544" s="56"/>
      <c r="F544" s="56"/>
      <c r="G544" s="56"/>
      <c r="H544" s="56"/>
    </row>
    <row r="545" spans="1:8" ht="15" customHeight="1" x14ac:dyDescent="0.25">
      <c r="A545" s="56"/>
      <c r="B545" s="56"/>
      <c r="C545" s="56"/>
      <c r="D545" s="56"/>
      <c r="E545" s="56"/>
      <c r="F545" s="22"/>
      <c r="G545" s="25"/>
    </row>
    <row r="546" spans="1:8" x14ac:dyDescent="0.25">
      <c r="A546" s="22"/>
    </row>
    <row r="547" spans="1:8" x14ac:dyDescent="0.25">
      <c r="A547" s="56"/>
      <c r="B547" s="56"/>
      <c r="C547" s="56"/>
      <c r="D547" s="56"/>
      <c r="E547" s="56"/>
      <c r="F547" s="56"/>
      <c r="G547" s="56"/>
      <c r="H547" s="56"/>
    </row>
    <row r="548" spans="1:8" ht="15" customHeight="1" x14ac:dyDescent="0.25">
      <c r="A548" s="56"/>
      <c r="B548" s="56"/>
      <c r="C548" s="56"/>
      <c r="D548" s="56"/>
      <c r="E548" s="5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56"/>
      <c r="B729" s="56"/>
      <c r="C729" s="56"/>
      <c r="D729" s="56"/>
      <c r="E729" s="56"/>
      <c r="F729" s="56"/>
      <c r="G729" s="56"/>
      <c r="H729" s="56"/>
    </row>
    <row r="730" spans="1:8" ht="15" customHeight="1" x14ac:dyDescent="0.25">
      <c r="A730" s="56"/>
      <c r="B730" s="56"/>
      <c r="C730" s="56"/>
      <c r="D730" s="56"/>
      <c r="E730" s="56"/>
      <c r="F730" s="22"/>
      <c r="G730" s="25"/>
    </row>
    <row r="731" spans="1:8" x14ac:dyDescent="0.25">
      <c r="A731" s="22"/>
    </row>
    <row r="732" spans="1:8" x14ac:dyDescent="0.25">
      <c r="A732" s="56"/>
      <c r="B732" s="56"/>
      <c r="C732" s="56"/>
      <c r="D732" s="56"/>
      <c r="E732" s="56"/>
      <c r="F732" s="56"/>
      <c r="G732" s="56"/>
      <c r="H732" s="56"/>
    </row>
    <row r="733" spans="1:8" ht="15" customHeight="1" x14ac:dyDescent="0.25">
      <c r="A733" s="56"/>
      <c r="B733" s="56"/>
      <c r="C733" s="56"/>
      <c r="D733" s="56"/>
      <c r="E733" s="56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27" sqref="I27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57" t="s">
        <v>0</v>
      </c>
      <c r="B1" s="57"/>
      <c r="C1" s="57"/>
      <c r="D1" s="57"/>
      <c r="E1" s="57"/>
      <c r="F1" s="57"/>
      <c r="G1" s="57"/>
      <c r="I1" s="17" t="s">
        <v>54</v>
      </c>
      <c r="J1" s="18">
        <f>G10</f>
        <v>-466.1</v>
      </c>
      <c r="L1" s="39" t="s">
        <v>88</v>
      </c>
      <c r="M1" s="40">
        <f>22+28+30+16</f>
        <v>96</v>
      </c>
      <c r="O1" s="45" t="s">
        <v>7</v>
      </c>
      <c r="P1" s="46"/>
    </row>
    <row r="2" spans="1:16" ht="18.75" x14ac:dyDescent="0.4">
      <c r="A2" s="57"/>
      <c r="B2" s="57"/>
      <c r="C2" s="57"/>
      <c r="D2" s="57"/>
      <c r="E2" s="57"/>
      <c r="F2" s="57"/>
      <c r="G2" s="57"/>
      <c r="I2" s="13" t="s">
        <v>60</v>
      </c>
      <c r="J2" s="14">
        <f>D54*-1</f>
        <v>-99.539999999999992</v>
      </c>
      <c r="L2" s="41" t="s">
        <v>61</v>
      </c>
      <c r="M2" s="39">
        <f>J1+M1</f>
        <v>-370.1</v>
      </c>
      <c r="O2" s="45" t="s">
        <v>91</v>
      </c>
      <c r="P2" s="46"/>
    </row>
    <row r="3" spans="1:16" ht="18.75" x14ac:dyDescent="0.4">
      <c r="A3" s="57"/>
      <c r="B3" s="57"/>
      <c r="C3" s="57"/>
      <c r="D3" s="57"/>
      <c r="E3" s="57"/>
      <c r="F3" s="57"/>
      <c r="G3" s="57"/>
      <c r="I3" s="15" t="s">
        <v>53</v>
      </c>
      <c r="J3" s="16">
        <f>G54+J1+J2</f>
        <v>100453.51999999999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-466.1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-466.1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5.9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5.9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3.1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3.1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14752.27</v>
      </c>
      <c r="D22" s="3">
        <f>IFERROR(INDEX('SubDept Coupon (Local Discount)'!G$1:G$100,MATCH('SubDept Sales Report'!A22,'SubDept Coupon (Local Discount)'!A$1:A$100,0)),0)</f>
        <v>9.2899999999999991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14761.560000000001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10585.97</v>
      </c>
      <c r="D23" s="3">
        <f>IFERROR(INDEX('SubDept Coupon (Local Discount)'!G$1:G$100,MATCH('SubDept Sales Report'!A23,'SubDept Coupon (Local Discount)'!A$1:A$100,0)),0)</f>
        <v>32.92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10618.89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3031.98</v>
      </c>
      <c r="D24" s="3">
        <f>IFERROR(INDEX('SubDept Coupon (Local Discount)'!G$1:G$100,MATCH('SubDept Sales Report'!A24,'SubDept Coupon (Local Discount)'!A$1:A$100,0)),0)</f>
        <v>1.1599999999999999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3033.14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8418.73</v>
      </c>
      <c r="D25" s="3">
        <f>IFERROR(INDEX('SubDept Coupon (Local Discount)'!G$1:G$100,MATCH('SubDept Sales Report'!A25,'SubDept Coupon (Local Discount)'!A$1:A$100,0)),0)</f>
        <v>3.15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8421.8799999999992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598.08000000000004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598.08000000000004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2695.58</v>
      </c>
      <c r="D27" s="3">
        <f>IFERROR(INDEX('SubDept Coupon (Local Discount)'!G$1:G$100,MATCH('SubDept Sales Report'!A27,'SubDept Coupon (Local Discount)'!A$1:A$100,0)),0)</f>
        <v>19.93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2715.5099999999998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1339.56</v>
      </c>
      <c r="D28" s="3">
        <f>IFERROR(INDEX('SubDept Coupon (Local Discount)'!G$1:G$100,MATCH('SubDept Sales Report'!A28,'SubDept Coupon (Local Discount)'!A$1:A$100,0)),0)</f>
        <v>7.23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1346.79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338.95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338.95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837.31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837.31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9409.43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9409.43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2681.71</v>
      </c>
      <c r="D33" s="3">
        <f>IFERROR(INDEX('SubDept Coupon (Local Discount)'!G$1:G$100,MATCH('SubDept Sales Report'!A33,'SubDept Coupon (Local Discount)'!A$1:A$100,0)),0)</f>
        <v>2.36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2684.07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255.95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255.95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739.39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739.39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914.73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914.73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668.58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668.58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4931.38</v>
      </c>
      <c r="D39" s="3">
        <f>IFERROR(INDEX('SubDept Coupon (Local Discount)'!G$1:G$100,MATCH('SubDept Sales Report'!A39,'SubDept Coupon (Local Discount)'!A$1:A$100,0)),0)</f>
        <v>6.06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4937.4400000000005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7206.39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7206.39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1910.88</v>
      </c>
      <c r="D41" s="3">
        <f>IFERROR(INDEX('SubDept Coupon (Local Discount)'!G$1:G$100,MATCH('SubDept Sales Report'!A41,'SubDept Coupon (Local Discount)'!A$1:A$100,0)),0)</f>
        <v>11.89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1922.7700000000002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2213.67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2213.67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1311.32</v>
      </c>
      <c r="D43" s="3">
        <f>IFERROR(INDEX('SubDept Coupon (Local Discount)'!G$1:G$100,MATCH('SubDept Sales Report'!A43,'SubDept Coupon (Local Discount)'!A$1:A$100,0)),0)</f>
        <v>1.1000000000000001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1312.4199999999998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15609.89</v>
      </c>
      <c r="D44" s="3">
        <f>IFERROR(INDEX('SubDept Coupon (Local Discount)'!G$1:G$100,MATCH('SubDept Sales Report'!A44,'SubDept Coupon (Local Discount)'!A$1:A$100,0)),0)</f>
        <v>2.12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15612.01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2570.1999999999998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2570.1999999999998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2264.34</v>
      </c>
      <c r="D46" s="3">
        <f>IFERROR(INDEX('SubDept Coupon (Local Discount)'!G$1:G$100,MATCH('SubDept Sales Report'!A46,'SubDept Coupon (Local Discount)'!A$1:A$100,0)),0)</f>
        <v>1.05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2265.3900000000003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5448.67</v>
      </c>
      <c r="D47" s="3">
        <f>IFERROR(INDEX('SubDept Coupon (Local Discount)'!G$1:G$100,MATCH('SubDept Sales Report'!A47,'SubDept Coupon (Local Discount)'!A$1:A$100,0)),0)</f>
        <v>1.28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5449.95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29.93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29.93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145.72999999999999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145.72999999999999</v>
      </c>
      <c r="I53" s="12"/>
      <c r="J53" s="3"/>
      <c r="K53" s="3"/>
    </row>
    <row r="54" spans="1:11" x14ac:dyDescent="0.25">
      <c r="B54" s="19" t="s">
        <v>52</v>
      </c>
      <c r="C54" s="3">
        <f>SUM(C5:C53)</f>
        <v>100453.51999999999</v>
      </c>
      <c r="D54" s="11">
        <f>SUM(D5:D53)</f>
        <v>99.539999999999992</v>
      </c>
      <c r="E54" s="11">
        <f>SUM(E5:E53)</f>
        <v>0</v>
      </c>
      <c r="F54" s="11">
        <f>SUM(F5:F53)</f>
        <v>0</v>
      </c>
      <c r="G54" s="38">
        <f>SUM(G11:G53,G9,G8,G7,G6,G5)</f>
        <v>101019.15999999999</v>
      </c>
      <c r="I54" s="12"/>
      <c r="J54" s="3"/>
      <c r="K54" s="3"/>
    </row>
  </sheetData>
  <autoFilter ref="A4:G54" xr:uid="{459199FD-0CD3-4C93-B98C-3BA614742282}">
    <filterColumn colId="6">
      <filters>
        <filter val="$(466.10)"/>
        <filter val="$1,312.42"/>
        <filter val="$1,346.79"/>
        <filter val="$1,922.77"/>
        <filter val="$10,618.89"/>
        <filter val="$101,019.16"/>
        <filter val="$14,761.56"/>
        <filter val="$145.73"/>
        <filter val="$15,612.01"/>
        <filter val="$2,213.67"/>
        <filter val="$2,265.39"/>
        <filter val="$2,570.20"/>
        <filter val="$2,684.07"/>
        <filter val="$2,715.51"/>
        <filter val="$255.95"/>
        <filter val="$29.93"/>
        <filter val="$3,033.14"/>
        <filter val="$3.10"/>
        <filter val="$338.95"/>
        <filter val="$4,937.44"/>
        <filter val="$5,449.95"/>
        <filter val="$5.90"/>
        <filter val="$598.08"/>
        <filter val="$668.58"/>
        <filter val="$7,206.39"/>
        <filter val="$739.39"/>
        <filter val="$8,421.88"/>
        <filter val="$837.31"/>
        <filter val="$9,409.43"/>
        <filter val="$914.73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2026-07-27T12:11:43Z</dcterms:modified>
</cp:coreProperties>
</file>