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EDB96BE1-AD45-42DD-B27C-551A3AB8D5F8}" xr6:coauthVersionLast="47" xr6:coauthVersionMax="47" xr10:uidLastSave="{00000000-0000-0000-0000-000000000000}"/>
  <bookViews>
    <workbookView xWindow="-6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r:id="rId5"/>
    <sheet name="SubDept Coupon (Local Discount)" sheetId="3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<sst xmlns="http://schemas.openxmlformats.org/spreadsheetml/2006/main" count="137" uniqueCount="92">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</sst>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69" formatCode="000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9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4" fontId="0" fillId="2" borderId="0" xfId="3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8">
        <v>27</v>
      </c>
      <c r="B1" s="59" t="s">
        <v>11</v>
      </c>
      <c r="C1" s="57"/>
      <c r="D1" s="57"/>
      <c r="E1" s="57"/>
      <c r="F1" s="60">
        <v>-1</v>
      </c>
      <c r="G1" s="62">
        <v>-2396</v>
      </c>
    </row>
    <row r="2" spans="1:7" x14ac:dyDescent="0.25">
      <c r="A2" s="58">
        <v>28</v>
      </c>
      <c r="B2" s="59" t="s">
        <v>12</v>
      </c>
      <c r="C2" s="57"/>
      <c r="D2" s="57"/>
      <c r="E2" s="57"/>
      <c r="F2" s="60">
        <v>85</v>
      </c>
      <c r="G2" s="61">
        <v>8.5</v>
      </c>
    </row>
    <row r="3" spans="1:7" x14ac:dyDescent="0.25">
      <c r="A3" s="58">
        <v>38</v>
      </c>
      <c r="B3" s="59" t="s">
        <v>55</v>
      </c>
      <c r="C3" s="57"/>
      <c r="D3" s="57"/>
      <c r="E3" s="57"/>
      <c r="F3" s="60">
        <v>87</v>
      </c>
      <c r="G3" s="61">
        <v>4.3499999999999996</v>
      </c>
    </row>
    <row r="4" spans="1:7" x14ac:dyDescent="0.25">
      <c r="A4" s="58">
        <v>110</v>
      </c>
      <c r="B4" s="59" t="s">
        <v>22</v>
      </c>
      <c r="C4" s="57"/>
      <c r="D4" s="57"/>
      <c r="E4" s="57"/>
      <c r="F4" s="60">
        <v>3493</v>
      </c>
      <c r="G4" s="63">
        <v>16761.37</v>
      </c>
    </row>
    <row r="5" spans="1:7" x14ac:dyDescent="0.25">
      <c r="A5" s="58">
        <v>120</v>
      </c>
      <c r="B5" s="59" t="s">
        <v>23</v>
      </c>
      <c r="C5" s="57"/>
      <c r="D5" s="57"/>
      <c r="E5" s="57"/>
      <c r="F5" s="64">
        <v>2258.1</v>
      </c>
      <c r="G5" s="63">
        <v>11277.32</v>
      </c>
    </row>
    <row r="6" spans="1:7" x14ac:dyDescent="0.25">
      <c r="A6" s="58">
        <v>130</v>
      </c>
      <c r="B6" s="59" t="s">
        <v>24</v>
      </c>
      <c r="C6" s="57"/>
      <c r="D6" s="57"/>
      <c r="E6" s="57"/>
      <c r="F6" s="60">
        <v>538</v>
      </c>
      <c r="G6" s="62">
        <v>3577.85</v>
      </c>
    </row>
    <row r="7" spans="1:7" x14ac:dyDescent="0.25">
      <c r="A7" s="58">
        <v>140</v>
      </c>
      <c r="B7" s="59" t="s">
        <v>25</v>
      </c>
      <c r="C7" s="57"/>
      <c r="D7" s="57"/>
      <c r="E7" s="57"/>
      <c r="F7" s="60">
        <v>1363</v>
      </c>
      <c r="G7" s="62">
        <v>9121.2800000000007</v>
      </c>
    </row>
    <row r="8" spans="1:7" x14ac:dyDescent="0.25">
      <c r="A8" s="58">
        <v>142</v>
      </c>
      <c r="B8" s="59" t="s">
        <v>26</v>
      </c>
      <c r="C8" s="57"/>
      <c r="D8" s="57"/>
      <c r="E8" s="57"/>
      <c r="F8" s="60">
        <v>222</v>
      </c>
      <c r="G8" s="66">
        <v>871</v>
      </c>
    </row>
    <row r="9" spans="1:7" x14ac:dyDescent="0.25">
      <c r="A9" s="58">
        <v>150</v>
      </c>
      <c r="B9" s="59" t="s">
        <v>27</v>
      </c>
      <c r="C9" s="57"/>
      <c r="D9" s="57"/>
      <c r="E9" s="57"/>
      <c r="F9" s="60">
        <v>430</v>
      </c>
      <c r="G9" s="62">
        <v>2422.2800000000002</v>
      </c>
    </row>
    <row r="10" spans="1:7" x14ac:dyDescent="0.25">
      <c r="A10" s="58">
        <v>160</v>
      </c>
      <c r="B10" s="59" t="s">
        <v>28</v>
      </c>
      <c r="C10" s="57"/>
      <c r="D10" s="57"/>
      <c r="E10" s="57"/>
      <c r="F10" s="60">
        <v>97</v>
      </c>
      <c r="G10" s="62">
        <v>1141.6600000000001</v>
      </c>
    </row>
    <row r="11" spans="1:7" x14ac:dyDescent="0.25">
      <c r="A11" s="58">
        <v>170</v>
      </c>
      <c r="B11" s="59" t="s">
        <v>29</v>
      </c>
      <c r="C11" s="57"/>
      <c r="D11" s="57"/>
      <c r="E11" s="57"/>
      <c r="F11" s="60">
        <v>1</v>
      </c>
      <c r="G11" s="65">
        <v>89.5</v>
      </c>
    </row>
    <row r="12" spans="1:7" x14ac:dyDescent="0.25">
      <c r="A12" s="58">
        <v>180</v>
      </c>
      <c r="B12" s="59" t="s">
        <v>30</v>
      </c>
      <c r="C12" s="57"/>
      <c r="D12" s="57"/>
      <c r="E12" s="57"/>
      <c r="F12" s="60">
        <v>96</v>
      </c>
      <c r="G12" s="66">
        <v>277.64999999999998</v>
      </c>
    </row>
    <row r="13" spans="1:7" x14ac:dyDescent="0.25">
      <c r="A13" s="58">
        <v>190</v>
      </c>
      <c r="B13" s="59" t="s">
        <v>31</v>
      </c>
      <c r="C13" s="57"/>
      <c r="D13" s="57"/>
      <c r="E13" s="57"/>
      <c r="F13" s="60">
        <v>125</v>
      </c>
      <c r="G13" s="66">
        <v>832.85</v>
      </c>
    </row>
    <row r="14" spans="1:7" x14ac:dyDescent="0.25">
      <c r="A14" s="58">
        <v>210</v>
      </c>
      <c r="B14" s="59" t="s">
        <v>32</v>
      </c>
      <c r="C14" s="57"/>
      <c r="D14" s="57"/>
      <c r="E14" s="57"/>
      <c r="F14" s="60">
        <v>1281</v>
      </c>
      <c r="G14" s="63">
        <v>10708.8</v>
      </c>
    </row>
    <row r="15" spans="1:7" x14ac:dyDescent="0.25">
      <c r="A15" s="58">
        <v>220</v>
      </c>
      <c r="B15" s="59" t="s">
        <v>33</v>
      </c>
      <c r="C15" s="57"/>
      <c r="D15" s="57"/>
      <c r="E15" s="57"/>
      <c r="F15" s="60">
        <v>706</v>
      </c>
      <c r="G15" s="62">
        <v>3033.63</v>
      </c>
    </row>
    <row r="16" spans="1:7" x14ac:dyDescent="0.25">
      <c r="A16" s="58">
        <v>235</v>
      </c>
      <c r="B16" s="59" t="s">
        <v>59</v>
      </c>
      <c r="C16" s="57"/>
      <c r="D16" s="57"/>
      <c r="E16" s="57"/>
      <c r="F16" s="60">
        <v>124</v>
      </c>
      <c r="G16" s="62">
        <v>1090</v>
      </c>
    </row>
    <row r="17" spans="1:7" x14ac:dyDescent="0.25">
      <c r="A17" s="58">
        <v>240</v>
      </c>
      <c r="B17" s="59" t="s">
        <v>35</v>
      </c>
      <c r="C17" s="57"/>
      <c r="D17" s="57"/>
      <c r="E17" s="57"/>
      <c r="F17" s="60">
        <v>211</v>
      </c>
      <c r="G17" s="66">
        <v>807.24</v>
      </c>
    </row>
    <row r="18" spans="1:7" x14ac:dyDescent="0.25">
      <c r="A18" s="58">
        <v>250</v>
      </c>
      <c r="B18" s="59" t="s">
        <v>36</v>
      </c>
      <c r="C18" s="57"/>
      <c r="D18" s="57"/>
      <c r="E18" s="57"/>
      <c r="F18" s="60">
        <v>191</v>
      </c>
      <c r="G18" s="62">
        <v>1072</v>
      </c>
    </row>
    <row r="19" spans="1:7" x14ac:dyDescent="0.25">
      <c r="A19" s="58">
        <v>310</v>
      </c>
      <c r="B19" s="59" t="s">
        <v>37</v>
      </c>
      <c r="C19" s="57"/>
      <c r="D19" s="57"/>
      <c r="E19" s="57"/>
      <c r="F19" s="60">
        <v>906</v>
      </c>
      <c r="G19" s="62">
        <v>5285.96</v>
      </c>
    </row>
    <row r="20" spans="1:7" x14ac:dyDescent="0.25">
      <c r="A20" s="58">
        <v>320</v>
      </c>
      <c r="B20" s="59" t="s">
        <v>38</v>
      </c>
      <c r="C20" s="57"/>
      <c r="D20" s="57"/>
      <c r="E20" s="57"/>
      <c r="F20" s="60">
        <v>785</v>
      </c>
      <c r="G20" s="62">
        <v>8040.01</v>
      </c>
    </row>
    <row r="21" spans="1:7" x14ac:dyDescent="0.25">
      <c r="A21" s="58">
        <v>330</v>
      </c>
      <c r="B21" s="59" t="s">
        <v>39</v>
      </c>
      <c r="C21" s="57"/>
      <c r="D21" s="57"/>
      <c r="E21" s="57"/>
      <c r="F21" s="60">
        <v>164</v>
      </c>
      <c r="G21" s="62">
        <v>1471.07</v>
      </c>
    </row>
    <row r="22" spans="1:7" x14ac:dyDescent="0.25">
      <c r="A22" s="58">
        <v>340</v>
      </c>
      <c r="B22" s="59" t="s">
        <v>40</v>
      </c>
      <c r="C22" s="57"/>
      <c r="D22" s="57"/>
      <c r="E22" s="57"/>
      <c r="F22" s="60">
        <v>135</v>
      </c>
      <c r="G22" s="62">
        <v>2080.7600000000002</v>
      </c>
    </row>
    <row r="23" spans="1:7" x14ac:dyDescent="0.25">
      <c r="A23" s="58">
        <v>350</v>
      </c>
      <c r="B23" s="59" t="s">
        <v>41</v>
      </c>
      <c r="C23" s="57"/>
      <c r="D23" s="57"/>
      <c r="E23" s="57"/>
      <c r="F23" s="60">
        <v>150</v>
      </c>
      <c r="G23" s="62">
        <v>1722.54</v>
      </c>
    </row>
    <row r="24" spans="1:7" x14ac:dyDescent="0.25">
      <c r="A24" s="58">
        <v>410</v>
      </c>
      <c r="B24" s="59" t="s">
        <v>42</v>
      </c>
      <c r="C24" s="57"/>
      <c r="D24" s="57"/>
      <c r="E24" s="57"/>
      <c r="F24" s="60">
        <v>4818</v>
      </c>
      <c r="G24" s="63">
        <v>17501.86</v>
      </c>
    </row>
    <row r="25" spans="1:7" x14ac:dyDescent="0.25">
      <c r="A25" s="58">
        <v>420</v>
      </c>
      <c r="B25" s="59" t="s">
        <v>43</v>
      </c>
      <c r="C25" s="57"/>
      <c r="D25" s="57"/>
      <c r="E25" s="57"/>
      <c r="F25" s="60">
        <v>282</v>
      </c>
      <c r="G25" s="62">
        <v>1944.54</v>
      </c>
    </row>
    <row r="26" spans="1:7" x14ac:dyDescent="0.25">
      <c r="A26" s="58">
        <v>510</v>
      </c>
      <c r="B26" s="59" t="s">
        <v>44</v>
      </c>
      <c r="C26" s="57"/>
      <c r="D26" s="57"/>
      <c r="E26" s="57"/>
      <c r="F26" s="60">
        <v>363</v>
      </c>
      <c r="G26" s="62">
        <v>3534.63</v>
      </c>
    </row>
    <row r="27" spans="1:7" x14ac:dyDescent="0.25">
      <c r="A27" s="58">
        <v>520</v>
      </c>
      <c r="B27" s="59" t="s">
        <v>45</v>
      </c>
      <c r="C27" s="57"/>
      <c r="D27" s="57"/>
      <c r="E27" s="57"/>
      <c r="F27" s="60">
        <v>306</v>
      </c>
      <c r="G27" s="62">
        <v>5404.65</v>
      </c>
    </row>
    <row r="28" spans="1:7" x14ac:dyDescent="0.25">
      <c r="A28" s="58">
        <v>550</v>
      </c>
      <c r="B28" s="59" t="s">
        <v>48</v>
      </c>
      <c r="C28" s="57"/>
      <c r="D28" s="57"/>
      <c r="E28" s="57"/>
      <c r="F28" s="60">
        <v>8</v>
      </c>
      <c r="G28" s="65">
        <v>94.88</v>
      </c>
    </row>
    <row r="29" spans="1:7" x14ac:dyDescent="0.25">
      <c r="A29" s="58">
        <v>1300</v>
      </c>
      <c r="B29" s="59" t="s">
        <v>51</v>
      </c>
      <c r="C29" s="57"/>
      <c r="D29" s="57"/>
      <c r="E29" s="57"/>
      <c r="F29" s="60">
        <v>28</v>
      </c>
      <c r="G29" s="66">
        <v>190.84</v>
      </c>
    </row>
    <row r="30" spans="1:7" x14ac:dyDescent="0.25">
      <c r="A30" s="51"/>
      <c r="B30" s="52"/>
      <c r="C30" s="50"/>
      <c r="D30" s="50"/>
      <c r="E30" s="50"/>
      <c r="F30" s="53"/>
      <c r="G30" s="55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K22" sqref="K22"/>
    </sheetView>
  </sheetViews>
  <sheetFormatPr defaultRowHeight="15" x14ac:dyDescent="0.25"/>
  <sheetData>
    <row r="1" spans="1:7" x14ac:dyDescent="0.25">
      <c r="A1" s="58">
        <v>110</v>
      </c>
      <c r="B1" s="59" t="s">
        <v>22</v>
      </c>
      <c r="C1" s="57"/>
      <c r="D1" s="57"/>
      <c r="E1" s="57"/>
      <c r="F1" s="60">
        <v>11</v>
      </c>
      <c r="G1" s="61">
        <v>3.72</v>
      </c>
    </row>
    <row r="2" spans="1:7" x14ac:dyDescent="0.25">
      <c r="A2" s="58">
        <v>120</v>
      </c>
      <c r="B2" s="59" t="s">
        <v>23</v>
      </c>
      <c r="C2" s="57"/>
      <c r="D2" s="57"/>
      <c r="E2" s="57"/>
      <c r="F2" s="60">
        <v>42</v>
      </c>
      <c r="G2" s="65">
        <v>28.66</v>
      </c>
    </row>
    <row r="3" spans="1:7" x14ac:dyDescent="0.25">
      <c r="A3" s="58">
        <v>130</v>
      </c>
      <c r="B3" s="59" t="s">
        <v>24</v>
      </c>
      <c r="C3" s="57"/>
      <c r="D3" s="57"/>
      <c r="E3" s="57"/>
      <c r="F3" s="60">
        <v>2</v>
      </c>
      <c r="G3" s="61">
        <v>1.31</v>
      </c>
    </row>
    <row r="4" spans="1:7" x14ac:dyDescent="0.25">
      <c r="A4" s="58">
        <v>140</v>
      </c>
      <c r="B4" s="59" t="s">
        <v>25</v>
      </c>
      <c r="C4" s="57"/>
      <c r="D4" s="57"/>
      <c r="E4" s="57"/>
      <c r="F4" s="60">
        <v>1</v>
      </c>
      <c r="G4" s="57"/>
    </row>
    <row r="5" spans="1:7" x14ac:dyDescent="0.25">
      <c r="A5" s="58">
        <v>142</v>
      </c>
      <c r="B5" s="59" t="s">
        <v>26</v>
      </c>
      <c r="C5" s="57"/>
      <c r="D5" s="57"/>
      <c r="E5" s="57"/>
      <c r="F5" s="60">
        <v>161</v>
      </c>
      <c r="G5" s="57"/>
    </row>
    <row r="6" spans="1:7" x14ac:dyDescent="0.25">
      <c r="A6" s="58">
        <v>150</v>
      </c>
      <c r="B6" s="59" t="s">
        <v>27</v>
      </c>
      <c r="C6" s="57"/>
      <c r="D6" s="57"/>
      <c r="E6" s="57"/>
      <c r="F6" s="60">
        <v>40</v>
      </c>
      <c r="G6" s="65">
        <v>19.88</v>
      </c>
    </row>
    <row r="7" spans="1:7" x14ac:dyDescent="0.25">
      <c r="A7" s="58">
        <v>160</v>
      </c>
      <c r="B7" s="59" t="s">
        <v>28</v>
      </c>
      <c r="C7" s="57"/>
      <c r="D7" s="57"/>
      <c r="E7" s="57"/>
      <c r="F7" s="60">
        <v>5</v>
      </c>
      <c r="G7" s="61">
        <v>3.97</v>
      </c>
    </row>
    <row r="8" spans="1:7" x14ac:dyDescent="0.25">
      <c r="A8" s="58">
        <v>210</v>
      </c>
      <c r="B8" s="59" t="s">
        <v>32</v>
      </c>
      <c r="C8" s="57"/>
      <c r="D8" s="57"/>
      <c r="E8" s="57"/>
      <c r="F8" s="60">
        <v>24</v>
      </c>
      <c r="G8" s="57"/>
    </row>
    <row r="9" spans="1:7" x14ac:dyDescent="0.25">
      <c r="A9" s="58">
        <v>220</v>
      </c>
      <c r="B9" s="59" t="s">
        <v>33</v>
      </c>
      <c r="C9" s="57"/>
      <c r="D9" s="57"/>
      <c r="E9" s="57"/>
      <c r="F9" s="60">
        <v>3</v>
      </c>
      <c r="G9" s="61">
        <v>1.85</v>
      </c>
    </row>
    <row r="10" spans="1:7" x14ac:dyDescent="0.25">
      <c r="A10" s="58">
        <v>310</v>
      </c>
      <c r="B10" s="59" t="s">
        <v>37</v>
      </c>
      <c r="C10" s="57"/>
      <c r="D10" s="57"/>
      <c r="E10" s="57"/>
      <c r="F10" s="60">
        <v>2</v>
      </c>
      <c r="G10" s="61">
        <v>0.93</v>
      </c>
    </row>
    <row r="11" spans="1:7" x14ac:dyDescent="0.25">
      <c r="A11" s="58">
        <v>330</v>
      </c>
      <c r="B11" s="59" t="s">
        <v>39</v>
      </c>
      <c r="C11" s="57"/>
      <c r="D11" s="57"/>
      <c r="E11" s="57"/>
      <c r="F11" s="60">
        <v>3</v>
      </c>
      <c r="G11" s="61">
        <v>2.2599999999999998</v>
      </c>
    </row>
    <row r="12" spans="1:7" x14ac:dyDescent="0.25">
      <c r="A12" s="58">
        <v>350</v>
      </c>
      <c r="B12" s="59" t="s">
        <v>41</v>
      </c>
      <c r="C12" s="57"/>
      <c r="D12" s="57"/>
      <c r="E12" s="57"/>
      <c r="F12" s="60">
        <v>2</v>
      </c>
      <c r="G12" s="61">
        <v>3.32</v>
      </c>
    </row>
    <row r="13" spans="1:7" x14ac:dyDescent="0.25">
      <c r="A13" s="58">
        <v>410</v>
      </c>
      <c r="B13" s="59" t="s">
        <v>42</v>
      </c>
      <c r="C13" s="57"/>
      <c r="D13" s="57"/>
      <c r="E13" s="57"/>
      <c r="F13" s="60">
        <v>9</v>
      </c>
      <c r="G13" s="61">
        <v>2.27</v>
      </c>
    </row>
    <row r="14" spans="1:7" x14ac:dyDescent="0.25">
      <c r="A14" s="58"/>
      <c r="B14" s="59"/>
      <c r="C14" s="57"/>
      <c r="D14" s="57"/>
      <c r="E14" s="57"/>
      <c r="F14" s="60"/>
      <c r="G14" s="61"/>
    </row>
    <row r="15" spans="1:7" x14ac:dyDescent="0.25">
      <c r="A15" s="58"/>
      <c r="B15" s="59"/>
      <c r="C15" s="57"/>
      <c r="D15" s="57"/>
      <c r="E15" s="57"/>
      <c r="F15" s="60"/>
      <c r="G15" s="61"/>
    </row>
    <row r="16" spans="1:7" x14ac:dyDescent="0.25">
      <c r="A16" s="51"/>
      <c r="B16" s="52"/>
      <c r="C16" s="50"/>
      <c r="D16" s="50"/>
      <c r="E16" s="50"/>
      <c r="F16" s="53"/>
      <c r="G16" s="54"/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8"/>
      <c r="B9" s="68"/>
      <c r="C9" s="68"/>
      <c r="D9" s="68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8"/>
      <c r="B12" s="68"/>
      <c r="C12" s="68"/>
      <c r="D12" s="68"/>
      <c r="E12" s="68"/>
      <c r="F12" s="68"/>
      <c r="G12" s="68"/>
      <c r="H12" s="68"/>
    </row>
    <row r="13" spans="1:8" ht="15" customHeight="1" x14ac:dyDescent="0.25">
      <c r="A13" s="68"/>
      <c r="B13" s="68"/>
      <c r="C13" s="68"/>
      <c r="D13" s="68"/>
      <c r="E13" s="68"/>
      <c r="F13" s="22"/>
      <c r="G13" s="25"/>
    </row>
    <row r="14" spans="1:8" x14ac:dyDescent="0.25">
      <c r="A14" s="22"/>
    </row>
    <row r="15" spans="1:8" x14ac:dyDescent="0.25">
      <c r="A15" s="68"/>
      <c r="B15" s="68"/>
      <c r="C15" s="68"/>
      <c r="D15" s="68"/>
      <c r="E15" s="68"/>
      <c r="F15" s="68"/>
      <c r="G15" s="68"/>
      <c r="H15" s="68"/>
    </row>
    <row r="16" spans="1:8" ht="15" customHeight="1" x14ac:dyDescent="0.25">
      <c r="A16" s="68"/>
      <c r="B16" s="68"/>
      <c r="C16" s="68"/>
      <c r="D16" s="68"/>
      <c r="E16" s="68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8"/>
      <c r="B544" s="68"/>
      <c r="C544" s="68"/>
      <c r="D544" s="68"/>
      <c r="E544" s="68"/>
      <c r="F544" s="68"/>
      <c r="G544" s="68"/>
      <c r="H544" s="68"/>
    </row>
    <row r="545" spans="1:8" ht="15" customHeight="1" x14ac:dyDescent="0.25">
      <c r="A545" s="68"/>
      <c r="B545" s="68"/>
      <c r="C545" s="68"/>
      <c r="D545" s="68"/>
      <c r="E545" s="68"/>
      <c r="F545" s="22"/>
      <c r="G545" s="25"/>
    </row>
    <row r="546" spans="1:8" x14ac:dyDescent="0.25">
      <c r="A546" s="22"/>
    </row>
    <row r="547" spans="1:8" x14ac:dyDescent="0.25">
      <c r="A547" s="68"/>
      <c r="B547" s="68"/>
      <c r="C547" s="68"/>
      <c r="D547" s="68"/>
      <c r="E547" s="68"/>
      <c r="F547" s="68"/>
      <c r="G547" s="68"/>
      <c r="H547" s="68"/>
    </row>
    <row r="548" spans="1:8" ht="15" customHeight="1" x14ac:dyDescent="0.25">
      <c r="A548" s="68"/>
      <c r="B548" s="68"/>
      <c r="C548" s="68"/>
      <c r="D548" s="68"/>
      <c r="E548" s="68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8"/>
      <c r="B729" s="68"/>
      <c r="C729" s="68"/>
      <c r="D729" s="68"/>
      <c r="E729" s="68"/>
      <c r="F729" s="68"/>
      <c r="G729" s="68"/>
      <c r="H729" s="68"/>
    </row>
    <row r="730" spans="1:8" ht="15" customHeight="1" x14ac:dyDescent="0.25">
      <c r="A730" s="68"/>
      <c r="B730" s="68"/>
      <c r="C730" s="68"/>
      <c r="D730" s="68"/>
      <c r="E730" s="68"/>
      <c r="F730" s="22"/>
      <c r="G730" s="25"/>
    </row>
    <row r="731" spans="1:8" x14ac:dyDescent="0.25">
      <c r="A731" s="22"/>
    </row>
    <row r="732" spans="1:8" x14ac:dyDescent="0.25">
      <c r="A732" s="68"/>
      <c r="B732" s="68"/>
      <c r="C732" s="68"/>
      <c r="D732" s="68"/>
      <c r="E732" s="68"/>
      <c r="F732" s="68"/>
      <c r="G732" s="68"/>
      <c r="H732" s="68"/>
    </row>
    <row r="733" spans="1:8" ht="15" customHeight="1" x14ac:dyDescent="0.25">
      <c r="A733" s="68"/>
      <c r="B733" s="68"/>
      <c r="C733" s="68"/>
      <c r="D733" s="68"/>
      <c r="E733" s="68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H29" sqref="H29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7" t="s">
        <v>0</v>
      </c>
      <c r="B1" s="67"/>
      <c r="C1" s="67"/>
      <c r="D1" s="67"/>
      <c r="E1" s="67"/>
      <c r="F1" s="67"/>
      <c r="G1" s="67"/>
      <c r="I1" s="17" t="s">
        <v>54</v>
      </c>
      <c r="J1" s="18">
        <f>G10</f>
        <v>-2396</v>
      </c>
      <c r="L1" s="39" t="s">
        <v>88</v>
      </c>
      <c r="M1" s="40">
        <f>16+28+6+16</f>
        <v>66</v>
      </c>
      <c r="O1" s="46" t="s">
        <v>7</v>
      </c>
      <c r="P1" s="47"/>
    </row>
    <row r="2" spans="1:16" ht="18.75" x14ac:dyDescent="0.4">
      <c r="A2" s="67"/>
      <c r="B2" s="67"/>
      <c r="C2" s="67"/>
      <c r="D2" s="67"/>
      <c r="E2" s="67"/>
      <c r="F2" s="67"/>
      <c r="G2" s="67"/>
      <c r="I2" s="13" t="s">
        <v>60</v>
      </c>
      <c r="J2" s="14">
        <f>D54*-1</f>
        <v>-68.17</v>
      </c>
      <c r="L2" s="41" t="s">
        <v>61</v>
      </c>
      <c r="M2" s="39">
        <f>J1+M1</f>
        <v>-2330</v>
      </c>
      <c r="O2" s="46" t="s">
        <v>91</v>
      </c>
      <c r="P2" s="47"/>
    </row>
    <row r="3" spans="1:16" ht="18.75" x14ac:dyDescent="0.4">
      <c r="A3" s="67"/>
      <c r="B3" s="67"/>
      <c r="C3" s="67"/>
      <c r="D3" s="67"/>
      <c r="E3" s="67"/>
      <c r="F3" s="67"/>
      <c r="G3" s="67"/>
      <c r="I3" s="15" t="s">
        <v>53</v>
      </c>
      <c r="J3" s="16">
        <f>G54+J1+J2</f>
        <v>107973.01999999999</v>
      </c>
      <c r="O3" s="46" t="s">
        <v>89</v>
      </c>
      <c r="P3" s="56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-2396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-2396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8.5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8.5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4.3499999999999996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4.3499999999999996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16761.37</v>
      </c>
      <c r="D22" s="3">
        <f>IFERROR(INDEX('SubDept Coupon (Local Discount)'!G$1:G$100,MATCH('SubDept Sales Report'!A22,'SubDept Coupon (Local Discount)'!A$1:A$100,0)),0)</f>
        <v>3.72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16765.09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11277.32</v>
      </c>
      <c r="D23" s="3">
        <f>IFERROR(INDEX('SubDept Coupon (Local Discount)'!G$1:G$100,MATCH('SubDept Sales Report'!A23,'SubDept Coupon (Local Discount)'!A$1:A$100,0)),0)</f>
        <v>28.66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11305.98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3577.85</v>
      </c>
      <c r="D24" s="3">
        <f>IFERROR(INDEX('SubDept Coupon (Local Discount)'!G$1:G$100,MATCH('SubDept Sales Report'!A24,'SubDept Coupon (Local Discount)'!A$1:A$100,0)),0)</f>
        <v>1.31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3579.16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9121.2800000000007</v>
      </c>
      <c r="D25" s="3">
        <f>IFERROR(INDEX('SubDept Coupon (Local Discount)'!G$1:G$100,MATCH('SubDept Sales Report'!A25,'SubDept Coupon (Local Discount)'!A$1:A$100,0)),0)</f>
        <v>0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9121.2800000000007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871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871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2422.2800000000002</v>
      </c>
      <c r="D27" s="3">
        <f>IFERROR(INDEX('SubDept Coupon (Local Discount)'!G$1:G$100,MATCH('SubDept Sales Report'!A27,'SubDept Coupon (Local Discount)'!A$1:A$100,0)),0)</f>
        <v>19.88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2442.1600000000003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1141.6600000000001</v>
      </c>
      <c r="D28" s="3">
        <f>IFERROR(INDEX('SubDept Coupon (Local Discount)'!G$1:G$100,MATCH('SubDept Sales Report'!A28,'SubDept Coupon (Local Discount)'!A$1:A$100,0)),0)</f>
        <v>3.97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1145.6300000000001</v>
      </c>
      <c r="I28" s="12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89.5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69">
        <f t="shared" si="0"/>
        <v>89.5</v>
      </c>
      <c r="H29">
        <v>7210410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277.64999999999998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277.64999999999998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832.85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832.85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10708.8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10708.8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3033.63</v>
      </c>
      <c r="D33" s="3">
        <f>IFERROR(INDEX('SubDept Coupon (Local Discount)'!G$1:G$100,MATCH('SubDept Sales Report'!A33,'SubDept Coupon (Local Discount)'!A$1:A$100,0)),0)</f>
        <v>1.85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3035.48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1090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1090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807.24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807.24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1072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1072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5285.96</v>
      </c>
      <c r="D39" s="3">
        <f>IFERROR(INDEX('SubDept Coupon (Local Discount)'!G$1:G$100,MATCH('SubDept Sales Report'!A39,'SubDept Coupon (Local Discount)'!A$1:A$100,0)),0)</f>
        <v>0.93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5286.89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8040.01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8040.01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1471.07</v>
      </c>
      <c r="D41" s="3">
        <f>IFERROR(INDEX('SubDept Coupon (Local Discount)'!G$1:G$100,MATCH('SubDept Sales Report'!A41,'SubDept Coupon (Local Discount)'!A$1:A$100,0)),0)</f>
        <v>2.2599999999999998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1473.33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2080.7600000000002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2080.7600000000002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1722.54</v>
      </c>
      <c r="D43" s="3">
        <f>IFERROR(INDEX('SubDept Coupon (Local Discount)'!G$1:G$100,MATCH('SubDept Sales Report'!A43,'SubDept Coupon (Local Discount)'!A$1:A$100,0)),0)</f>
        <v>3.32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1725.86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17501.86</v>
      </c>
      <c r="D44" s="3">
        <f>IFERROR(INDEX('SubDept Coupon (Local Discount)'!G$1:G$100,MATCH('SubDept Sales Report'!A44,'SubDept Coupon (Local Discount)'!A$1:A$100,0)),0)</f>
        <v>2.27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17504.13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1944.54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1944.54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3534.63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3534.63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5404.65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5404.65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94.88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94.88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190.84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190.84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107973.01999999999</v>
      </c>
      <c r="D54" s="11">
        <f>SUM(D5:D53)</f>
        <v>68.17</v>
      </c>
      <c r="E54" s="11">
        <f>SUM(E5:E53)</f>
        <v>0</v>
      </c>
      <c r="F54" s="11">
        <f>SUM(F5:F53)</f>
        <v>0</v>
      </c>
      <c r="G54" s="38">
        <f>SUM(G11:G53,G9,G8,G7,G6,G5)</f>
        <v>110437.18999999999</v>
      </c>
      <c r="I54" s="12"/>
      <c r="J54" s="3"/>
      <c r="K54" s="3"/>
    </row>
  </sheetData>
  <autoFilter ref="A4:G54" xr:uid="{459199FD-0CD3-4C93-B98C-3BA614742282}">
    <filterColumn colId="6">
      <filters>
        <filter val="$(2,396.00)"/>
        <filter val="$4.35"/>
        <filter val="$8.50"/>
        <filter val="10708.8"/>
        <filter val="1072"/>
        <filter val="1090"/>
        <filter val="110437.19"/>
        <filter val="11305.98"/>
        <filter val="1145.63"/>
        <filter val="1473.33"/>
        <filter val="16765.09"/>
        <filter val="1725.86"/>
        <filter val="17504.13"/>
        <filter val="190.84"/>
        <filter val="1944.54"/>
        <filter val="2080.76"/>
        <filter val="2442.16"/>
        <filter val="277.65"/>
        <filter val="3035.48"/>
        <filter val="3534.63"/>
        <filter val="3579.16"/>
        <filter val="5286.89"/>
        <filter val="5404.65"/>
        <filter val="8040.01"/>
        <filter val="807.24"/>
        <filter val="832.85"/>
        <filter val="871"/>
        <filter val="89.5"/>
        <filter val="9121.28"/>
        <filter val="94.88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2026-07-06T16:44:30Z</dcterms:modified>
</cp:coreProperties>
</file>