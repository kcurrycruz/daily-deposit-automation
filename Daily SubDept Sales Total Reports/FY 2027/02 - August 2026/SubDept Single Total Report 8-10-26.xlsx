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2 - August 2026\"/>
    </mc:Choice>
  </mc:AlternateContent>
  <xr:revisionPtr revIDLastSave="0" documentId="13_ncr:1_{E1C09264-8524-4333-AE64-ADB9D1DD36B0}" xr6:coauthVersionLast="47" xr6:coauthVersionMax="47" xr10:uidLastSave="{00000000-0000-0000-0000-000000000000}"/>
  <bookViews>
    <workbookView xWindow="-22185" yWindow="525" windowWidth="20160" windowHeight="1239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<sst xmlns="http://schemas.openxmlformats.org/spreadsheetml/2006/main" count="140" uniqueCount="92">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</sst>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5" fillId="0" borderId="0"/>
    <xf numFmtId="0" fontId="17" fillId="0" borderId="0"/>
    <xf numFmtId="0" fontId="18" fillId="0" borderId="0"/>
  </cellStyleXfs>
  <cellXfs count="56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44" fontId="16" fillId="7" borderId="0" xfId="3" applyFont="1" applyFill="1" applyBorder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8" fillId="0" borderId="0" xfId="11"/>
    <xf numFmtId="1" fontId="19" fillId="0" borderId="0" xfId="11" applyNumberFormat="1" applyFont="1" applyFill="1" applyAlignment="1" applyProtection="1">
      <alignment horizontal="left" vertical="top"/>
      <protection locked="0"/>
    </xf>
    <xf numFmtId="0" fontId="19" fillId="0" borderId="0" xfId="11" applyFont="1" applyFill="1" applyAlignment="1" applyProtection="1">
      <alignment horizontal="left" vertical="top"/>
      <protection locked="0"/>
    </xf>
    <xf numFmtId="1" fontId="18" fillId="0" borderId="0" xfId="11" applyNumberFormat="1" applyFill="1" applyAlignment="1" applyProtection="1">
      <alignment horizontal="right" vertical="top"/>
      <protection locked="0"/>
    </xf>
    <xf numFmtId="2" fontId="18" fillId="0" borderId="0" xfId="11" applyNumberFormat="1" applyFill="1" applyAlignment="1" applyProtection="1">
      <alignment horizontal="right" vertical="top"/>
      <protection locked="0"/>
    </xf>
    <xf numFmtId="164" fontId="18" fillId="0" borderId="0" xfId="11" applyNumberFormat="1" applyFill="1" applyAlignment="1" applyProtection="1">
      <alignment horizontal="right" vertical="top"/>
      <protection locked="0"/>
    </xf>
    <xf numFmtId="167" fontId="18" fillId="0" borderId="0" xfId="11" applyNumberFormat="1" applyFill="1" applyAlignment="1" applyProtection="1">
      <alignment horizontal="right" vertical="top"/>
      <protection locked="0"/>
    </xf>
    <xf numFmtId="165" fontId="18" fillId="0" borderId="0" xfId="11" applyNumberFormat="1" applyFill="1" applyAlignment="1" applyProtection="1">
      <alignment horizontal="right" vertical="top"/>
      <protection locked="0"/>
    </xf>
    <xf numFmtId="166" fontId="18" fillId="0" borderId="0" xfId="11" applyNumberFormat="1" applyFill="1" applyAlignment="1" applyProtection="1">
      <alignment horizontal="right" vertical="top"/>
      <protection locked="0"/>
    </xf>
    <xf numFmtId="44" fontId="0" fillId="0" borderId="0" xfId="3" applyNumberFormat="1" applyFont="1"/>
    <xf numFmtId="0" fontId="0" fillId="0" borderId="0" xfId="0" applyFill="1" applyAlignment="1" applyProtection="1">
      <alignment horizontal="left" vertical="top"/>
      <protection locked="0"/>
    </xf>
    <xf numFmtId="44" fontId="0" fillId="0" borderId="0" xfId="3" applyNumberFormat="1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022D7E21-B144-4309-987D-E69F726C461B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45">
        <v>23</v>
      </c>
      <c r="B1" s="46" t="s">
        <v>7</v>
      </c>
      <c r="C1" s="44"/>
      <c r="D1" s="44"/>
      <c r="E1" s="44"/>
      <c r="F1" s="47">
        <v>-1</v>
      </c>
      <c r="G1" s="48">
        <v>-3</v>
      </c>
    </row>
    <row r="2" spans="1:7" x14ac:dyDescent="0.25">
      <c r="A2" s="45">
        <v>27</v>
      </c>
      <c r="B2" s="46" t="s">
        <v>11</v>
      </c>
      <c r="C2" s="44"/>
      <c r="D2" s="44"/>
      <c r="E2" s="44"/>
      <c r="F2" s="47">
        <v>-1</v>
      </c>
      <c r="G2" s="49">
        <v>-966.08</v>
      </c>
    </row>
    <row r="3" spans="1:7" x14ac:dyDescent="0.25">
      <c r="A3" s="45">
        <v>28</v>
      </c>
      <c r="B3" s="46" t="s">
        <v>12</v>
      </c>
      <c r="C3" s="44"/>
      <c r="D3" s="44"/>
      <c r="E3" s="44"/>
      <c r="F3" s="47">
        <v>67</v>
      </c>
      <c r="G3" s="48">
        <v>6.7</v>
      </c>
    </row>
    <row r="4" spans="1:7" x14ac:dyDescent="0.25">
      <c r="A4" s="45">
        <v>38</v>
      </c>
      <c r="B4" s="46" t="s">
        <v>55</v>
      </c>
      <c r="C4" s="44"/>
      <c r="D4" s="44"/>
      <c r="E4" s="44"/>
      <c r="F4" s="47">
        <v>69</v>
      </c>
      <c r="G4" s="48">
        <v>3.45</v>
      </c>
    </row>
    <row r="5" spans="1:7" x14ac:dyDescent="0.25">
      <c r="A5" s="45">
        <v>110</v>
      </c>
      <c r="B5" s="46" t="s">
        <v>22</v>
      </c>
      <c r="C5" s="44"/>
      <c r="D5" s="44"/>
      <c r="E5" s="44"/>
      <c r="F5" s="47">
        <v>3253</v>
      </c>
      <c r="G5" s="50">
        <v>15326.97</v>
      </c>
    </row>
    <row r="6" spans="1:7" x14ac:dyDescent="0.25">
      <c r="A6" s="45">
        <v>120</v>
      </c>
      <c r="B6" s="46" t="s">
        <v>23</v>
      </c>
      <c r="C6" s="44"/>
      <c r="D6" s="44"/>
      <c r="E6" s="44"/>
      <c r="F6" s="47">
        <v>2432</v>
      </c>
      <c r="G6" s="50">
        <v>12301.45</v>
      </c>
    </row>
    <row r="7" spans="1:7" x14ac:dyDescent="0.25">
      <c r="A7" s="45">
        <v>130</v>
      </c>
      <c r="B7" s="46" t="s">
        <v>24</v>
      </c>
      <c r="C7" s="44"/>
      <c r="D7" s="44"/>
      <c r="E7" s="44"/>
      <c r="F7" s="47">
        <v>483</v>
      </c>
      <c r="G7" s="52">
        <v>3495.63</v>
      </c>
    </row>
    <row r="8" spans="1:7" x14ac:dyDescent="0.25">
      <c r="A8" s="45">
        <v>140</v>
      </c>
      <c r="B8" s="46" t="s">
        <v>25</v>
      </c>
      <c r="C8" s="44"/>
      <c r="D8" s="44"/>
      <c r="E8" s="44"/>
      <c r="F8" s="47">
        <v>1432</v>
      </c>
      <c r="G8" s="50">
        <v>10724.89</v>
      </c>
    </row>
    <row r="9" spans="1:7" x14ac:dyDescent="0.25">
      <c r="A9" s="45">
        <v>142</v>
      </c>
      <c r="B9" s="46" t="s">
        <v>26</v>
      </c>
      <c r="C9" s="44"/>
      <c r="D9" s="44"/>
      <c r="E9" s="44"/>
      <c r="F9" s="47">
        <v>190</v>
      </c>
      <c r="G9" s="49">
        <v>905.01</v>
      </c>
    </row>
    <row r="10" spans="1:7" x14ac:dyDescent="0.25">
      <c r="A10" s="45">
        <v>150</v>
      </c>
      <c r="B10" s="46" t="s">
        <v>27</v>
      </c>
      <c r="C10" s="44"/>
      <c r="D10" s="44"/>
      <c r="E10" s="44"/>
      <c r="F10" s="47">
        <v>379</v>
      </c>
      <c r="G10" s="52">
        <v>2186.79</v>
      </c>
    </row>
    <row r="11" spans="1:7" x14ac:dyDescent="0.25">
      <c r="A11" s="45">
        <v>160</v>
      </c>
      <c r="B11" s="46" t="s">
        <v>28</v>
      </c>
      <c r="C11" s="44"/>
      <c r="D11" s="44"/>
      <c r="E11" s="44"/>
      <c r="F11" s="47">
        <v>79</v>
      </c>
      <c r="G11" s="49">
        <v>814.61</v>
      </c>
    </row>
    <row r="12" spans="1:7" x14ac:dyDescent="0.25">
      <c r="A12" s="45">
        <v>170</v>
      </c>
      <c r="B12" s="46" t="s">
        <v>29</v>
      </c>
      <c r="C12" s="44"/>
      <c r="D12" s="44"/>
      <c r="E12" s="44"/>
      <c r="F12" s="44"/>
      <c r="G12" s="44"/>
    </row>
    <row r="13" spans="1:7" x14ac:dyDescent="0.25">
      <c r="A13" s="45">
        <v>180</v>
      </c>
      <c r="B13" s="46" t="s">
        <v>30</v>
      </c>
      <c r="C13" s="44"/>
      <c r="D13" s="44"/>
      <c r="E13" s="44"/>
      <c r="F13" s="47">
        <v>86</v>
      </c>
      <c r="G13" s="49">
        <v>227.97</v>
      </c>
    </row>
    <row r="14" spans="1:7" x14ac:dyDescent="0.25">
      <c r="A14" s="45">
        <v>190</v>
      </c>
      <c r="B14" s="46" t="s">
        <v>31</v>
      </c>
      <c r="C14" s="44"/>
      <c r="D14" s="44"/>
      <c r="E14" s="44"/>
      <c r="F14" s="47">
        <v>142</v>
      </c>
      <c r="G14" s="49">
        <v>793.57</v>
      </c>
    </row>
    <row r="15" spans="1:7" x14ac:dyDescent="0.25">
      <c r="A15" s="45">
        <v>210</v>
      </c>
      <c r="B15" s="46" t="s">
        <v>32</v>
      </c>
      <c r="C15" s="44"/>
      <c r="D15" s="44"/>
      <c r="E15" s="44"/>
      <c r="F15" s="47">
        <v>1011</v>
      </c>
      <c r="G15" s="52">
        <v>8860.66</v>
      </c>
    </row>
    <row r="16" spans="1:7" x14ac:dyDescent="0.25">
      <c r="A16" s="45">
        <v>220</v>
      </c>
      <c r="B16" s="46" t="s">
        <v>33</v>
      </c>
      <c r="C16" s="44"/>
      <c r="D16" s="44"/>
      <c r="E16" s="44"/>
      <c r="F16" s="47">
        <v>647</v>
      </c>
      <c r="G16" s="52">
        <v>2185.5300000000002</v>
      </c>
    </row>
    <row r="17" spans="1:7" x14ac:dyDescent="0.25">
      <c r="A17" s="45">
        <v>235</v>
      </c>
      <c r="B17" s="46" t="s">
        <v>59</v>
      </c>
      <c r="C17" s="44"/>
      <c r="D17" s="44"/>
      <c r="E17" s="44"/>
      <c r="F17" s="47">
        <v>51</v>
      </c>
      <c r="G17" s="49">
        <v>617.49</v>
      </c>
    </row>
    <row r="18" spans="1:7" x14ac:dyDescent="0.25">
      <c r="A18" s="45">
        <v>240</v>
      </c>
      <c r="B18" s="46" t="s">
        <v>35</v>
      </c>
      <c r="C18" s="44"/>
      <c r="D18" s="44"/>
      <c r="E18" s="44"/>
      <c r="F18" s="47">
        <v>196</v>
      </c>
      <c r="G18" s="49">
        <v>777.93</v>
      </c>
    </row>
    <row r="19" spans="1:7" x14ac:dyDescent="0.25">
      <c r="A19" s="45">
        <v>250</v>
      </c>
      <c r="B19" s="46" t="s">
        <v>36</v>
      </c>
      <c r="C19" s="44"/>
      <c r="D19" s="44"/>
      <c r="E19" s="44"/>
      <c r="F19" s="47">
        <v>112</v>
      </c>
      <c r="G19" s="49">
        <v>646.89</v>
      </c>
    </row>
    <row r="20" spans="1:7" x14ac:dyDescent="0.25">
      <c r="A20" s="45">
        <v>310</v>
      </c>
      <c r="B20" s="46" t="s">
        <v>37</v>
      </c>
      <c r="C20" s="44"/>
      <c r="D20" s="44"/>
      <c r="E20" s="44"/>
      <c r="F20" s="47">
        <v>846</v>
      </c>
      <c r="G20" s="52">
        <v>4910.8100000000004</v>
      </c>
    </row>
    <row r="21" spans="1:7" x14ac:dyDescent="0.25">
      <c r="A21" s="45">
        <v>320</v>
      </c>
      <c r="B21" s="46" t="s">
        <v>38</v>
      </c>
      <c r="C21" s="44"/>
      <c r="D21" s="44"/>
      <c r="E21" s="44"/>
      <c r="F21" s="47">
        <v>733</v>
      </c>
      <c r="G21" s="52">
        <v>7377.83</v>
      </c>
    </row>
    <row r="22" spans="1:7" x14ac:dyDescent="0.25">
      <c r="A22" s="45">
        <v>330</v>
      </c>
      <c r="B22" s="46" t="s">
        <v>39</v>
      </c>
      <c r="C22" s="44"/>
      <c r="D22" s="44"/>
      <c r="E22" s="44"/>
      <c r="F22" s="47">
        <v>173</v>
      </c>
      <c r="G22" s="52">
        <v>1467.16</v>
      </c>
    </row>
    <row r="23" spans="1:7" x14ac:dyDescent="0.25">
      <c r="A23" s="45">
        <v>340</v>
      </c>
      <c r="B23" s="46" t="s">
        <v>40</v>
      </c>
      <c r="C23" s="44"/>
      <c r="D23" s="44"/>
      <c r="E23" s="44"/>
      <c r="F23" s="47">
        <v>170</v>
      </c>
      <c r="G23" s="52">
        <v>2345.69</v>
      </c>
    </row>
    <row r="24" spans="1:7" x14ac:dyDescent="0.25">
      <c r="A24" s="45">
        <v>350</v>
      </c>
      <c r="B24" s="46" t="s">
        <v>41</v>
      </c>
      <c r="C24" s="44"/>
      <c r="D24" s="44"/>
      <c r="E24" s="44"/>
      <c r="F24" s="47">
        <v>164</v>
      </c>
      <c r="G24" s="52">
        <v>1736.14</v>
      </c>
    </row>
    <row r="25" spans="1:7" x14ac:dyDescent="0.25">
      <c r="A25" s="45">
        <v>410</v>
      </c>
      <c r="B25" s="46" t="s">
        <v>42</v>
      </c>
      <c r="C25" s="44"/>
      <c r="D25" s="44"/>
      <c r="E25" s="44"/>
      <c r="F25" s="47">
        <v>4457</v>
      </c>
      <c r="G25" s="50">
        <v>14884.52</v>
      </c>
    </row>
    <row r="26" spans="1:7" x14ac:dyDescent="0.25">
      <c r="A26" s="45">
        <v>420</v>
      </c>
      <c r="B26" s="46" t="s">
        <v>43</v>
      </c>
      <c r="C26" s="44"/>
      <c r="D26" s="44"/>
      <c r="E26" s="44"/>
      <c r="F26" s="47">
        <v>170</v>
      </c>
      <c r="G26" s="52">
        <v>1072.0899999999999</v>
      </c>
    </row>
    <row r="27" spans="1:7" x14ac:dyDescent="0.25">
      <c r="A27" s="45">
        <v>510</v>
      </c>
      <c r="B27" s="46" t="s">
        <v>44</v>
      </c>
      <c r="C27" s="44"/>
      <c r="D27" s="44"/>
      <c r="E27" s="44"/>
      <c r="F27" s="47">
        <v>310</v>
      </c>
      <c r="G27" s="52">
        <v>2763.06</v>
      </c>
    </row>
    <row r="28" spans="1:7" x14ac:dyDescent="0.25">
      <c r="A28" s="45">
        <v>520</v>
      </c>
      <c r="B28" s="46" t="s">
        <v>45</v>
      </c>
      <c r="C28" s="44"/>
      <c r="D28" s="44"/>
      <c r="E28" s="44"/>
      <c r="F28" s="47">
        <v>307</v>
      </c>
      <c r="G28" s="52">
        <v>4685.41</v>
      </c>
    </row>
    <row r="29" spans="1:7" x14ac:dyDescent="0.25">
      <c r="A29" s="45">
        <v>550</v>
      </c>
      <c r="B29" s="46" t="s">
        <v>48</v>
      </c>
      <c r="C29" s="44"/>
      <c r="D29" s="44"/>
      <c r="E29" s="44"/>
      <c r="F29" s="47">
        <v>3</v>
      </c>
      <c r="G29" s="51">
        <v>36.97</v>
      </c>
    </row>
    <row r="30" spans="1:7" x14ac:dyDescent="0.25">
      <c r="A30" s="45">
        <v>1300</v>
      </c>
      <c r="B30" s="46" t="s">
        <v>51</v>
      </c>
      <c r="C30" s="44"/>
      <c r="D30" s="44"/>
      <c r="E30" s="44"/>
      <c r="F30" s="47">
        <v>24</v>
      </c>
      <c r="G30" s="49">
        <v>103.77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30"/>
  <sheetViews>
    <sheetView workbookViewId="0">
      <selection activeCell="E18" sqref="E18"/>
    </sheetView>
  </sheetViews>
  <sheetFormatPr defaultRowHeight="15" x14ac:dyDescent="0.25"/>
  <sheetData>
    <row r="1" spans="1:7" x14ac:dyDescent="0.25">
      <c r="A1" s="45">
        <v>110</v>
      </c>
      <c r="B1" s="46" t="s">
        <v>22</v>
      </c>
      <c r="C1" s="44"/>
      <c r="D1" s="44"/>
      <c r="E1" s="44"/>
      <c r="F1" s="47">
        <v>30</v>
      </c>
      <c r="G1" s="48">
        <v>18.940000000000001</v>
      </c>
    </row>
    <row r="2" spans="1:7" x14ac:dyDescent="0.25">
      <c r="A2" s="45">
        <v>120</v>
      </c>
      <c r="B2" s="46" t="s">
        <v>23</v>
      </c>
      <c r="C2" s="44"/>
      <c r="D2" s="44"/>
      <c r="E2" s="44"/>
      <c r="F2" s="47">
        <v>39</v>
      </c>
      <c r="G2" s="49">
        <v>24.23</v>
      </c>
    </row>
    <row r="3" spans="1:7" x14ac:dyDescent="0.25">
      <c r="A3" s="45">
        <v>130</v>
      </c>
      <c r="B3" s="46" t="s">
        <v>24</v>
      </c>
      <c r="C3" s="44"/>
      <c r="D3" s="44"/>
      <c r="E3" s="44"/>
      <c r="F3" s="47">
        <v>4</v>
      </c>
      <c r="G3" s="48">
        <v>4.84</v>
      </c>
    </row>
    <row r="4" spans="1:7" x14ac:dyDescent="0.25">
      <c r="A4" s="45">
        <v>140</v>
      </c>
      <c r="B4" s="46" t="s">
        <v>25</v>
      </c>
      <c r="C4" s="44"/>
      <c r="D4" s="44"/>
      <c r="E4" s="44"/>
      <c r="F4" s="47">
        <v>2</v>
      </c>
      <c r="G4" s="48">
        <v>1.07</v>
      </c>
    </row>
    <row r="5" spans="1:7" x14ac:dyDescent="0.25">
      <c r="A5" s="45">
        <v>142</v>
      </c>
      <c r="B5" s="46" t="s">
        <v>26</v>
      </c>
      <c r="C5" s="44"/>
      <c r="D5" s="44"/>
      <c r="E5" s="44"/>
      <c r="F5" s="47">
        <v>143</v>
      </c>
      <c r="G5" s="50"/>
    </row>
    <row r="6" spans="1:7" x14ac:dyDescent="0.25">
      <c r="A6" s="45">
        <v>150</v>
      </c>
      <c r="B6" s="46" t="s">
        <v>27</v>
      </c>
      <c r="C6" s="44"/>
      <c r="D6" s="44"/>
      <c r="E6" s="44"/>
      <c r="F6" s="47">
        <v>38</v>
      </c>
      <c r="G6" s="50">
        <v>17.940000000000001</v>
      </c>
    </row>
    <row r="7" spans="1:7" x14ac:dyDescent="0.25">
      <c r="A7" s="45">
        <v>160</v>
      </c>
      <c r="B7" s="46" t="s">
        <v>28</v>
      </c>
      <c r="C7" s="44"/>
      <c r="D7" s="44"/>
      <c r="E7" s="44"/>
      <c r="F7" s="47">
        <v>8</v>
      </c>
      <c r="G7" s="52">
        <v>6.9</v>
      </c>
    </row>
    <row r="8" spans="1:7" x14ac:dyDescent="0.25">
      <c r="A8" s="45">
        <v>210</v>
      </c>
      <c r="B8" s="46" t="s">
        <v>32</v>
      </c>
      <c r="C8" s="44"/>
      <c r="D8" s="44"/>
      <c r="E8" s="44"/>
      <c r="F8" s="47">
        <v>30</v>
      </c>
      <c r="G8" s="50"/>
    </row>
    <row r="9" spans="1:7" x14ac:dyDescent="0.25">
      <c r="A9" s="45">
        <v>310</v>
      </c>
      <c r="B9" s="46" t="s">
        <v>37</v>
      </c>
      <c r="C9" s="44"/>
      <c r="D9" s="44"/>
      <c r="E9" s="44"/>
      <c r="F9" s="47">
        <v>5</v>
      </c>
      <c r="G9" s="49">
        <v>3.91</v>
      </c>
    </row>
    <row r="10" spans="1:7" x14ac:dyDescent="0.25">
      <c r="A10" s="45">
        <v>320</v>
      </c>
      <c r="B10" s="46" t="s">
        <v>38</v>
      </c>
      <c r="C10" s="44"/>
      <c r="D10" s="44"/>
      <c r="E10" s="44"/>
      <c r="F10" s="47">
        <v>3</v>
      </c>
      <c r="G10" s="52"/>
    </row>
    <row r="11" spans="1:7" x14ac:dyDescent="0.25">
      <c r="A11" s="45">
        <v>330</v>
      </c>
      <c r="B11" s="46" t="s">
        <v>39</v>
      </c>
      <c r="C11" s="44"/>
      <c r="D11" s="44"/>
      <c r="E11" s="44"/>
      <c r="F11" s="47">
        <v>3</v>
      </c>
      <c r="G11" s="49">
        <v>2.85</v>
      </c>
    </row>
    <row r="12" spans="1:7" x14ac:dyDescent="0.25">
      <c r="A12" s="45">
        <v>350</v>
      </c>
      <c r="B12" s="46" t="s">
        <v>41</v>
      </c>
      <c r="C12" s="44"/>
      <c r="D12" s="44"/>
      <c r="E12" s="44"/>
      <c r="F12" s="44">
        <v>1</v>
      </c>
      <c r="G12" s="44">
        <v>2.71</v>
      </c>
    </row>
    <row r="13" spans="1:7" x14ac:dyDescent="0.25">
      <c r="A13" s="45">
        <v>410</v>
      </c>
      <c r="B13" s="46" t="s">
        <v>42</v>
      </c>
      <c r="C13" s="44"/>
      <c r="D13" s="44"/>
      <c r="E13" s="44"/>
      <c r="F13" s="47">
        <v>5</v>
      </c>
      <c r="G13" s="49">
        <v>4.34</v>
      </c>
    </row>
    <row r="14" spans="1:7" x14ac:dyDescent="0.25">
      <c r="A14" s="45">
        <v>510</v>
      </c>
      <c r="B14" s="46" t="s">
        <v>44</v>
      </c>
      <c r="C14" s="44"/>
      <c r="D14" s="44"/>
      <c r="E14" s="44"/>
      <c r="F14" s="47">
        <v>3</v>
      </c>
      <c r="G14" s="49">
        <v>2.6</v>
      </c>
    </row>
    <row r="15" spans="1:7" x14ac:dyDescent="0.25">
      <c r="A15" s="45">
        <v>520</v>
      </c>
      <c r="B15" s="46" t="s">
        <v>45</v>
      </c>
      <c r="C15" s="44"/>
      <c r="D15" s="44"/>
      <c r="E15" s="44"/>
      <c r="F15" s="47">
        <v>1</v>
      </c>
      <c r="G15" s="52">
        <v>1.35</v>
      </c>
    </row>
    <row r="16" spans="1:7" x14ac:dyDescent="0.25">
      <c r="A16" s="45"/>
      <c r="B16" s="46"/>
      <c r="C16" s="44"/>
      <c r="D16" s="44"/>
      <c r="E16" s="44"/>
      <c r="F16" s="47"/>
      <c r="G16" s="52"/>
    </row>
    <row r="17" spans="1:7" x14ac:dyDescent="0.25">
      <c r="A17" s="45"/>
      <c r="B17" s="46"/>
      <c r="C17" s="44"/>
      <c r="D17" s="44"/>
      <c r="E17" s="44"/>
      <c r="F17" s="47"/>
      <c r="G17" s="49"/>
    </row>
    <row r="18" spans="1:7" x14ac:dyDescent="0.25">
      <c r="A18" s="45"/>
      <c r="B18" s="46"/>
      <c r="C18" s="44"/>
      <c r="D18" s="44"/>
      <c r="E18" s="44"/>
      <c r="F18" s="47"/>
      <c r="G18" s="49"/>
    </row>
    <row r="19" spans="1:7" x14ac:dyDescent="0.25">
      <c r="A19" s="45"/>
      <c r="B19" s="46"/>
      <c r="C19" s="44"/>
      <c r="D19" s="44"/>
      <c r="E19" s="44"/>
      <c r="F19" s="47"/>
      <c r="G19" s="49"/>
    </row>
    <row r="20" spans="1:7" x14ac:dyDescent="0.25">
      <c r="A20" s="45"/>
      <c r="B20" s="46"/>
      <c r="C20" s="44"/>
      <c r="D20" s="44"/>
      <c r="E20" s="44"/>
      <c r="F20" s="47"/>
      <c r="G20" s="52"/>
    </row>
    <row r="21" spans="1:7" x14ac:dyDescent="0.25">
      <c r="A21" s="45"/>
      <c r="B21" s="46"/>
      <c r="C21" s="44"/>
      <c r="D21" s="44"/>
      <c r="E21" s="44"/>
      <c r="F21" s="47"/>
      <c r="G21" s="52"/>
    </row>
    <row r="22" spans="1:7" x14ac:dyDescent="0.25">
      <c r="A22" s="45"/>
      <c r="B22" s="46"/>
      <c r="C22" s="44"/>
      <c r="D22" s="44"/>
      <c r="E22" s="44"/>
      <c r="F22" s="47"/>
      <c r="G22" s="52"/>
    </row>
    <row r="23" spans="1:7" x14ac:dyDescent="0.25">
      <c r="A23" s="45"/>
      <c r="B23" s="46"/>
      <c r="C23" s="44"/>
      <c r="D23" s="44"/>
      <c r="E23" s="44"/>
      <c r="F23" s="47"/>
      <c r="G23" s="52"/>
    </row>
    <row r="24" spans="1:7" x14ac:dyDescent="0.25">
      <c r="A24" s="45"/>
      <c r="B24" s="46"/>
      <c r="C24" s="44"/>
      <c r="D24" s="44"/>
      <c r="E24" s="44"/>
      <c r="F24" s="47"/>
      <c r="G24" s="52"/>
    </row>
    <row r="25" spans="1:7" x14ac:dyDescent="0.25">
      <c r="A25" s="45"/>
      <c r="B25" s="46"/>
      <c r="C25" s="44"/>
      <c r="D25" s="44"/>
      <c r="E25" s="44"/>
      <c r="F25" s="47"/>
      <c r="G25" s="50"/>
    </row>
    <row r="26" spans="1:7" x14ac:dyDescent="0.25">
      <c r="A26" s="45"/>
      <c r="B26" s="46"/>
      <c r="C26" s="44"/>
      <c r="D26" s="44"/>
      <c r="E26" s="44"/>
      <c r="F26" s="47"/>
      <c r="G26" s="52"/>
    </row>
    <row r="27" spans="1:7" x14ac:dyDescent="0.25">
      <c r="A27" s="45"/>
      <c r="B27" s="46"/>
      <c r="C27" s="44"/>
      <c r="D27" s="44"/>
      <c r="E27" s="44"/>
      <c r="F27" s="47"/>
      <c r="G27" s="52"/>
    </row>
    <row r="28" spans="1:7" x14ac:dyDescent="0.25">
      <c r="A28" s="45"/>
      <c r="B28" s="46"/>
      <c r="C28" s="44"/>
      <c r="D28" s="44"/>
      <c r="E28" s="44"/>
      <c r="F28" s="47"/>
      <c r="G28" s="52"/>
    </row>
    <row r="29" spans="1:7" x14ac:dyDescent="0.25">
      <c r="A29" s="45"/>
      <c r="B29" s="46"/>
      <c r="C29" s="44"/>
      <c r="D29" s="44"/>
      <c r="E29" s="44"/>
      <c r="F29" s="47"/>
      <c r="G29" s="51"/>
    </row>
    <row r="30" spans="1:7" x14ac:dyDescent="0.25">
      <c r="A30" s="45"/>
      <c r="B30" s="46"/>
      <c r="C30" s="44"/>
      <c r="D30" s="44"/>
      <c r="E30" s="44"/>
      <c r="F30" s="47"/>
      <c r="G30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42"/>
      <c r="B9" s="42"/>
      <c r="C9" s="42"/>
      <c r="D9" s="42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42"/>
      <c r="B12" s="42"/>
      <c r="C12" s="42"/>
      <c r="D12" s="42"/>
      <c r="E12" s="42"/>
      <c r="F12" s="42"/>
      <c r="G12" s="42"/>
      <c r="H12" s="42"/>
    </row>
    <row r="13" spans="1:8" ht="15" customHeight="1" x14ac:dyDescent="0.25">
      <c r="A13" s="42"/>
      <c r="B13" s="42"/>
      <c r="C13" s="42"/>
      <c r="D13" s="42"/>
      <c r="E13" s="42"/>
      <c r="F13" s="22"/>
      <c r="G13" s="25"/>
    </row>
    <row r="14" spans="1:8" x14ac:dyDescent="0.25">
      <c r="A14" s="22"/>
    </row>
    <row r="15" spans="1:8" x14ac:dyDescent="0.25">
      <c r="A15" s="42"/>
      <c r="B15" s="42"/>
      <c r="C15" s="42"/>
      <c r="D15" s="42"/>
      <c r="E15" s="42"/>
      <c r="F15" s="42"/>
      <c r="G15" s="42"/>
      <c r="H15" s="42"/>
    </row>
    <row r="16" spans="1:8" ht="15" customHeight="1" x14ac:dyDescent="0.25">
      <c r="A16" s="42"/>
      <c r="B16" s="42"/>
      <c r="C16" s="42"/>
      <c r="D16" s="42"/>
      <c r="E16" s="42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42"/>
      <c r="B544" s="42"/>
      <c r="C544" s="42"/>
      <c r="D544" s="42"/>
      <c r="E544" s="42"/>
      <c r="F544" s="42"/>
      <c r="G544" s="42"/>
      <c r="H544" s="42"/>
    </row>
    <row r="545" spans="1:8" ht="15" customHeight="1" x14ac:dyDescent="0.25">
      <c r="A545" s="42"/>
      <c r="B545" s="42"/>
      <c r="C545" s="42"/>
      <c r="D545" s="42"/>
      <c r="E545" s="42"/>
      <c r="F545" s="22"/>
      <c r="G545" s="25"/>
    </row>
    <row r="546" spans="1:8" x14ac:dyDescent="0.25">
      <c r="A546" s="22"/>
    </row>
    <row r="547" spans="1:8" x14ac:dyDescent="0.25">
      <c r="A547" s="42"/>
      <c r="B547" s="42"/>
      <c r="C547" s="42"/>
      <c r="D547" s="42"/>
      <c r="E547" s="42"/>
      <c r="F547" s="42"/>
      <c r="G547" s="42"/>
      <c r="H547" s="42"/>
    </row>
    <row r="548" spans="1:8" ht="15" customHeight="1" x14ac:dyDescent="0.25">
      <c r="A548" s="42"/>
      <c r="B548" s="42"/>
      <c r="C548" s="42"/>
      <c r="D548" s="42"/>
      <c r="E548" s="42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42"/>
      <c r="B729" s="42"/>
      <c r="C729" s="42"/>
      <c r="D729" s="42"/>
      <c r="E729" s="42"/>
      <c r="F729" s="42"/>
      <c r="G729" s="42"/>
      <c r="H729" s="42"/>
    </row>
    <row r="730" spans="1:8" ht="15" customHeight="1" x14ac:dyDescent="0.25">
      <c r="A730" s="42"/>
      <c r="B730" s="42"/>
      <c r="C730" s="42"/>
      <c r="D730" s="42"/>
      <c r="E730" s="42"/>
      <c r="F730" s="22"/>
      <c r="G730" s="25"/>
    </row>
    <row r="731" spans="1:8" x14ac:dyDescent="0.25">
      <c r="A731" s="22"/>
    </row>
    <row r="732" spans="1:8" x14ac:dyDescent="0.25">
      <c r="A732" s="42"/>
      <c r="B732" s="42"/>
      <c r="C732" s="42"/>
      <c r="D732" s="42"/>
      <c r="E732" s="42"/>
      <c r="F732" s="42"/>
      <c r="G732" s="42"/>
      <c r="H732" s="42"/>
    </row>
    <row r="733" spans="1:8" ht="15" customHeight="1" x14ac:dyDescent="0.25">
      <c r="A733" s="42"/>
      <c r="B733" s="42"/>
      <c r="C733" s="42"/>
      <c r="D733" s="42"/>
      <c r="E733" s="42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L11" sqref="L11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29" customWidth="1"/>
  </cols>
  <sheetData>
    <row r="1" spans="1:16" ht="18.75" x14ac:dyDescent="0.4">
      <c r="A1" s="43" t="s">
        <v>0</v>
      </c>
      <c r="B1" s="43"/>
      <c r="C1" s="43"/>
      <c r="D1" s="43"/>
      <c r="E1" s="43"/>
      <c r="F1" s="43"/>
      <c r="G1" s="43"/>
      <c r="I1" s="17" t="s">
        <v>54</v>
      </c>
      <c r="J1" s="18">
        <f>G10</f>
        <v>-966.08</v>
      </c>
      <c r="L1" s="31" t="s">
        <v>88</v>
      </c>
      <c r="M1" s="32">
        <f>34+28+12+48</f>
        <v>122</v>
      </c>
      <c r="O1" s="37" t="s">
        <v>7</v>
      </c>
      <c r="P1" s="38"/>
    </row>
    <row r="2" spans="1:16" ht="18.75" x14ac:dyDescent="0.4">
      <c r="A2" s="43"/>
      <c r="B2" s="43"/>
      <c r="C2" s="43"/>
      <c r="D2" s="43"/>
      <c r="E2" s="43"/>
      <c r="F2" s="43"/>
      <c r="G2" s="43"/>
      <c r="I2" s="13" t="s">
        <v>60</v>
      </c>
      <c r="J2" s="14">
        <f>D54*-1</f>
        <v>-91.679999999999993</v>
      </c>
      <c r="L2" s="33" t="s">
        <v>61</v>
      </c>
      <c r="M2" s="31">
        <f>J1+M1</f>
        <v>-844.08</v>
      </c>
      <c r="O2" s="37" t="s">
        <v>91</v>
      </c>
      <c r="P2" s="38"/>
    </row>
    <row r="3" spans="1:16" ht="18.75" x14ac:dyDescent="0.4">
      <c r="A3" s="43"/>
      <c r="B3" s="43"/>
      <c r="C3" s="43"/>
      <c r="D3" s="43"/>
      <c r="E3" s="43"/>
      <c r="F3" s="43"/>
      <c r="G3" s="43"/>
      <c r="I3" s="15" t="s">
        <v>53</v>
      </c>
      <c r="J3" s="16">
        <f>G54+J1+J2</f>
        <v>100289.91000000002</v>
      </c>
      <c r="O3" s="37" t="s">
        <v>89</v>
      </c>
      <c r="P3" s="41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39" t="s">
        <v>90</v>
      </c>
      <c r="P4" s="40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29">
        <f>(C5+D5)-E5-F5</f>
        <v>0</v>
      </c>
      <c r="I5" s="5"/>
      <c r="J5" s="27"/>
      <c r="K5" s="5"/>
    </row>
    <row r="6" spans="1:16" x14ac:dyDescent="0.25">
      <c r="A6" s="4">
        <v>23</v>
      </c>
      <c r="B6" s="54" t="s">
        <v>7</v>
      </c>
      <c r="C6" s="3">
        <f>IFERROR(INDEX('SubDept Single'!G$1:G$100,MATCH('SubDept Sales Report'!A6,'SubDept Single'!A$1:A$100,0)),0)</f>
        <v>-3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55">
        <f t="shared" ref="G6:G53" si="0">(C6+D6)-E6-F6</f>
        <v>-3</v>
      </c>
      <c r="I6" s="3"/>
      <c r="J6" s="35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29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29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29">
        <f t="shared" si="0"/>
        <v>0</v>
      </c>
      <c r="J9" s="34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-966.08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53">
        <f>C10+D10</f>
        <v>-966.08</v>
      </c>
      <c r="J10" s="35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6.7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53">
        <f t="shared" si="0"/>
        <v>6.7</v>
      </c>
      <c r="J11" s="36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29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29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29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29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29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29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29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29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3.45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53">
        <f t="shared" si="0"/>
        <v>3.45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29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15326.97</v>
      </c>
      <c r="D22" s="3">
        <f>IFERROR(INDEX('SubDept Coupon (Local Discount)'!G$1:G$100,MATCH('SubDept Sales Report'!A22,'SubDept Coupon (Local Discount)'!A$1:A$100,0)),0)</f>
        <v>18.940000000000001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53">
        <f t="shared" si="0"/>
        <v>15345.91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12301.45</v>
      </c>
      <c r="D23" s="3">
        <f>IFERROR(INDEX('SubDept Coupon (Local Discount)'!G$1:G$100,MATCH('SubDept Sales Report'!A23,'SubDept Coupon (Local Discount)'!A$1:A$100,0)),0)</f>
        <v>24.23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53">
        <f t="shared" si="0"/>
        <v>12325.68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3495.63</v>
      </c>
      <c r="D24" s="3">
        <f>IFERROR(INDEX('SubDept Coupon (Local Discount)'!G$1:G$100,MATCH('SubDept Sales Report'!A24,'SubDept Coupon (Local Discount)'!A$1:A$100,0)),0)</f>
        <v>4.84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53">
        <f t="shared" si="0"/>
        <v>3500.4700000000003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10724.89</v>
      </c>
      <c r="D25" s="3">
        <f>IFERROR(INDEX('SubDept Coupon (Local Discount)'!G$1:G$100,MATCH('SubDept Sales Report'!A25,'SubDept Coupon (Local Discount)'!A$1:A$100,0)),0)</f>
        <v>1.07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53">
        <f t="shared" si="0"/>
        <v>10725.96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905.01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53">
        <f t="shared" si="0"/>
        <v>905.01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2186.79</v>
      </c>
      <c r="D27" s="3">
        <f>IFERROR(INDEX('SubDept Coupon (Local Discount)'!G$1:G$100,MATCH('SubDept Sales Report'!A27,'SubDept Coupon (Local Discount)'!A$1:A$100,0)),0)</f>
        <v>17.940000000000001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53">
        <f t="shared" si="0"/>
        <v>2204.73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814.61</v>
      </c>
      <c r="D28" s="3">
        <f>IFERROR(INDEX('SubDept Coupon (Local Discount)'!G$1:G$100,MATCH('SubDept Sales Report'!A28,'SubDept Coupon (Local Discount)'!A$1:A$100,0)),0)</f>
        <v>6.9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53">
        <f t="shared" si="0"/>
        <v>821.51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29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227.97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53">
        <f t="shared" si="0"/>
        <v>227.97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793.57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53">
        <f t="shared" si="0"/>
        <v>793.57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8860.66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53">
        <f t="shared" si="0"/>
        <v>8860.66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2185.5300000000002</v>
      </c>
      <c r="D33" s="3">
        <f>IFERROR(INDEX('SubDept Coupon (Local Discount)'!G$1:G$100,MATCH('SubDept Sales Report'!A33,'SubDept Coupon (Local Discount)'!A$1:A$100,0)),0)</f>
        <v>0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53">
        <f t="shared" si="0"/>
        <v>2185.5300000000002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29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617.49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53">
        <f t="shared" si="0"/>
        <v>617.49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777.93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53">
        <f t="shared" si="0"/>
        <v>777.93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646.89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53">
        <f t="shared" si="0"/>
        <v>646.89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29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4910.8100000000004</v>
      </c>
      <c r="D39" s="3">
        <f>IFERROR(INDEX('SubDept Coupon (Local Discount)'!G$1:G$100,MATCH('SubDept Sales Report'!A39,'SubDept Coupon (Local Discount)'!A$1:A$100,0)),0)</f>
        <v>3.91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53">
        <f t="shared" si="0"/>
        <v>4914.72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7377.83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53">
        <f t="shared" si="0"/>
        <v>7377.83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1467.16</v>
      </c>
      <c r="D41" s="3">
        <f>IFERROR(INDEX('SubDept Coupon (Local Discount)'!G$1:G$100,MATCH('SubDept Sales Report'!A41,'SubDept Coupon (Local Discount)'!A$1:A$100,0)),0)</f>
        <v>2.85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53">
        <f t="shared" si="0"/>
        <v>1470.01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2345.69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53">
        <f t="shared" si="0"/>
        <v>2345.69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1736.14</v>
      </c>
      <c r="D43" s="3">
        <f>IFERROR(INDEX('SubDept Coupon (Local Discount)'!G$1:G$100,MATCH('SubDept Sales Report'!A43,'SubDept Coupon (Local Discount)'!A$1:A$100,0)),0)</f>
        <v>2.71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53">
        <f t="shared" si="0"/>
        <v>1738.8500000000001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14884.52</v>
      </c>
      <c r="D44" s="3">
        <f>IFERROR(INDEX('SubDept Coupon (Local Discount)'!G$1:G$100,MATCH('SubDept Sales Report'!A44,'SubDept Coupon (Local Discount)'!A$1:A$100,0)),0)</f>
        <v>4.34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53">
        <f t="shared" si="0"/>
        <v>14888.86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1072.0899999999999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53">
        <f t="shared" si="0"/>
        <v>1072.0899999999999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2763.06</v>
      </c>
      <c r="D46" s="3">
        <f>IFERROR(INDEX('SubDept Coupon (Local Discount)'!G$1:G$100,MATCH('SubDept Sales Report'!A46,'SubDept Coupon (Local Discount)'!A$1:A$100,0)),0)</f>
        <v>2.6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53">
        <f t="shared" si="0"/>
        <v>2765.66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4685.41</v>
      </c>
      <c r="D47" s="3">
        <f>IFERROR(INDEX('SubDept Coupon (Local Discount)'!G$1:G$100,MATCH('SubDept Sales Report'!A47,'SubDept Coupon (Local Discount)'!A$1:A$100,0)),0)</f>
        <v>1.35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53">
        <f t="shared" si="0"/>
        <v>4686.76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29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29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36.97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53">
        <f t="shared" si="0"/>
        <v>36.97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29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29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103.77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53">
        <f t="shared" si="0"/>
        <v>103.77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100289.91</v>
      </c>
      <c r="D54" s="11">
        <f>SUM(D5:D53)</f>
        <v>91.679999999999993</v>
      </c>
      <c r="E54" s="11">
        <f>SUM(E5:E53)</f>
        <v>0</v>
      </c>
      <c r="F54" s="11">
        <f>SUM(F5:F53)</f>
        <v>0</v>
      </c>
      <c r="G54" s="30">
        <f>SUM(G11:G53,G9,G8,G7,G6,G5)</f>
        <v>101347.67000000001</v>
      </c>
      <c r="I54" s="12"/>
      <c r="J54" s="3"/>
      <c r="K54" s="3"/>
    </row>
  </sheetData>
  <autoFilter ref="A4:G54" xr:uid="{459199FD-0CD3-4C93-B98C-3BA614742282}">
    <filterColumn colId="6">
      <filters>
        <filter val="$(3.00)"/>
        <filter val="$(966.08)"/>
        <filter val="$1,072.09"/>
        <filter val="$1,470.01"/>
        <filter val="$1,738.85"/>
        <filter val="$10,725.96"/>
        <filter val="$101,347.67"/>
        <filter val="$103.77"/>
        <filter val="$12,325.68"/>
        <filter val="$14,888.86"/>
        <filter val="$15,345.91"/>
        <filter val="$2,185.53"/>
        <filter val="$2,204.73"/>
        <filter val="$2,345.69"/>
        <filter val="$2,765.66"/>
        <filter val="$227.97"/>
        <filter val="$3,500.47"/>
        <filter val="$3.45"/>
        <filter val="$36.97"/>
        <filter val="$4,686.76"/>
        <filter val="$4,914.72"/>
        <filter val="$6.70"/>
        <filter val="$617.49"/>
        <filter val="$646.89"/>
        <filter val="$7,377.83"/>
        <filter val="$777.93"/>
        <filter val="$793.57"/>
        <filter val="$8,860.66"/>
        <filter val="$821.51"/>
        <filter val="$905.01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2026-08-11T14:34:29Z</dcterms:modified>
</cp:coreProperties>
</file>