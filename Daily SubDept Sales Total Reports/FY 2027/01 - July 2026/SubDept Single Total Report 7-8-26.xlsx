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4FA24A0C-42E7-485C-B13A-6FAE0C937B7A}" xr6:coauthVersionLast="47" xr6:coauthVersionMax="47" xr10:uidLastSave="{00000000-0000-0000-0000-000000000000}"/>
  <bookViews>
    <workbookView xWindow="-6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<sst xmlns="http://schemas.openxmlformats.org/spreadsheetml/2006/main" count="140" uniqueCount="92">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</sst>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64" fontId="19" fillId="0" borderId="0" xfId="10" applyNumberFormat="1" applyFill="1" applyAlignment="1" applyProtection="1">
      <alignment horizontal="righ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7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  <xf numFmtId="166" fontId="19" fillId="0" borderId="0" xfId="10" applyNumberFormat="1" applyFill="1" applyAlignment="1" applyProtection="1">
      <alignment horizontal="right" vertical="top"/>
      <protection locked="0"/>
    </xf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66">
        <v>27</v>
      </c>
      <c r="B1" s="67" t="s">
        <v>11</v>
      </c>
      <c r="C1" s="65"/>
      <c r="D1" s="65"/>
      <c r="E1" s="65"/>
      <c r="F1" s="65"/>
      <c r="G1" s="68">
        <v>-645</v>
      </c>
    </row>
    <row r="2" spans="1:7" x14ac:dyDescent="0.25">
      <c r="A2" s="66">
        <v>28</v>
      </c>
      <c r="B2" s="67" t="s">
        <v>12</v>
      </c>
      <c r="C2" s="65"/>
      <c r="D2" s="65"/>
      <c r="E2" s="65"/>
      <c r="F2" s="69">
        <v>71</v>
      </c>
      <c r="G2" s="70">
        <v>7.1</v>
      </c>
    </row>
    <row r="3" spans="1:7" x14ac:dyDescent="0.25">
      <c r="A3" s="66">
        <v>38</v>
      </c>
      <c r="B3" s="67" t="s">
        <v>55</v>
      </c>
      <c r="C3" s="65"/>
      <c r="D3" s="65"/>
      <c r="E3" s="65"/>
      <c r="F3" s="69">
        <v>81</v>
      </c>
      <c r="G3" s="70">
        <v>4.05</v>
      </c>
    </row>
    <row r="4" spans="1:7" x14ac:dyDescent="0.25">
      <c r="A4" s="66">
        <v>110</v>
      </c>
      <c r="B4" s="67" t="s">
        <v>22</v>
      </c>
      <c r="C4" s="65"/>
      <c r="D4" s="65"/>
      <c r="E4" s="65"/>
      <c r="F4" s="69">
        <v>3333</v>
      </c>
      <c r="G4" s="71">
        <v>15843.36</v>
      </c>
    </row>
    <row r="5" spans="1:7" x14ac:dyDescent="0.25">
      <c r="A5" s="66">
        <v>120</v>
      </c>
      <c r="B5" s="67" t="s">
        <v>23</v>
      </c>
      <c r="C5" s="65"/>
      <c r="D5" s="65"/>
      <c r="E5" s="65"/>
      <c r="F5" s="69">
        <v>2349</v>
      </c>
      <c r="G5" s="71">
        <v>11670.71</v>
      </c>
    </row>
    <row r="6" spans="1:7" x14ac:dyDescent="0.25">
      <c r="A6" s="66">
        <v>130</v>
      </c>
      <c r="B6" s="67" t="s">
        <v>24</v>
      </c>
      <c r="C6" s="65"/>
      <c r="D6" s="65"/>
      <c r="E6" s="65"/>
      <c r="F6" s="69">
        <v>483</v>
      </c>
      <c r="G6" s="73">
        <v>3331.46</v>
      </c>
    </row>
    <row r="7" spans="1:7" x14ac:dyDescent="0.25">
      <c r="A7" s="66">
        <v>140</v>
      </c>
      <c r="B7" s="67" t="s">
        <v>25</v>
      </c>
      <c r="C7" s="65"/>
      <c r="D7" s="65"/>
      <c r="E7" s="65"/>
      <c r="F7" s="69">
        <v>1682</v>
      </c>
      <c r="G7" s="71">
        <v>12948</v>
      </c>
    </row>
    <row r="8" spans="1:7" x14ac:dyDescent="0.25">
      <c r="A8" s="66">
        <v>142</v>
      </c>
      <c r="B8" s="67" t="s">
        <v>26</v>
      </c>
      <c r="C8" s="65"/>
      <c r="D8" s="65"/>
      <c r="E8" s="65"/>
      <c r="F8" s="69">
        <v>230</v>
      </c>
      <c r="G8" s="73">
        <v>1183.99</v>
      </c>
    </row>
    <row r="9" spans="1:7" x14ac:dyDescent="0.25">
      <c r="A9" s="66">
        <v>150</v>
      </c>
      <c r="B9" s="67" t="s">
        <v>27</v>
      </c>
      <c r="C9" s="65"/>
      <c r="D9" s="65"/>
      <c r="E9" s="65"/>
      <c r="F9" s="69">
        <v>427</v>
      </c>
      <c r="G9" s="73">
        <v>2420.88</v>
      </c>
    </row>
    <row r="10" spans="1:7" x14ac:dyDescent="0.25">
      <c r="A10" s="66">
        <v>160</v>
      </c>
      <c r="B10" s="67" t="s">
        <v>28</v>
      </c>
      <c r="C10" s="65"/>
      <c r="D10" s="65"/>
      <c r="E10" s="65"/>
      <c r="F10" s="69">
        <v>73</v>
      </c>
      <c r="G10" s="68">
        <v>718.27</v>
      </c>
    </row>
    <row r="11" spans="1:7" x14ac:dyDescent="0.25">
      <c r="A11" s="66">
        <v>170</v>
      </c>
      <c r="B11" s="67" t="s">
        <v>29</v>
      </c>
      <c r="C11" s="65"/>
      <c r="D11" s="65"/>
      <c r="E11" s="65"/>
      <c r="F11" s="65"/>
      <c r="G11" s="65"/>
    </row>
    <row r="12" spans="1:7" x14ac:dyDescent="0.25">
      <c r="A12" s="66">
        <v>180</v>
      </c>
      <c r="B12" s="67" t="s">
        <v>30</v>
      </c>
      <c r="C12" s="65"/>
      <c r="D12" s="65"/>
      <c r="E12" s="65"/>
      <c r="F12" s="69">
        <v>55</v>
      </c>
      <c r="G12" s="68">
        <v>265.27</v>
      </c>
    </row>
    <row r="13" spans="1:7" x14ac:dyDescent="0.25">
      <c r="A13" s="66">
        <v>190</v>
      </c>
      <c r="B13" s="67" t="s">
        <v>31</v>
      </c>
      <c r="C13" s="65"/>
      <c r="D13" s="65"/>
      <c r="E13" s="65"/>
      <c r="F13" s="69">
        <v>139</v>
      </c>
      <c r="G13" s="68">
        <v>896.41</v>
      </c>
    </row>
    <row r="14" spans="1:7" x14ac:dyDescent="0.25">
      <c r="A14" s="66">
        <v>210</v>
      </c>
      <c r="B14" s="67" t="s">
        <v>32</v>
      </c>
      <c r="C14" s="65"/>
      <c r="D14" s="65"/>
      <c r="E14" s="65"/>
      <c r="F14" s="69">
        <v>1141</v>
      </c>
      <c r="G14" s="73">
        <v>9421.5</v>
      </c>
    </row>
    <row r="15" spans="1:7" x14ac:dyDescent="0.25">
      <c r="A15" s="66">
        <v>220</v>
      </c>
      <c r="B15" s="67" t="s">
        <v>33</v>
      </c>
      <c r="C15" s="65"/>
      <c r="D15" s="65"/>
      <c r="E15" s="65"/>
      <c r="F15" s="69">
        <v>734</v>
      </c>
      <c r="G15" s="73">
        <v>2607.48</v>
      </c>
    </row>
    <row r="16" spans="1:7" x14ac:dyDescent="0.25">
      <c r="A16" s="66">
        <v>235</v>
      </c>
      <c r="B16" s="67" t="s">
        <v>59</v>
      </c>
      <c r="C16" s="65"/>
      <c r="D16" s="65"/>
      <c r="E16" s="65"/>
      <c r="F16" s="69">
        <v>57</v>
      </c>
      <c r="G16" s="68">
        <v>691.43</v>
      </c>
    </row>
    <row r="17" spans="1:7" x14ac:dyDescent="0.25">
      <c r="A17" s="66">
        <v>240</v>
      </c>
      <c r="B17" s="67" t="s">
        <v>35</v>
      </c>
      <c r="C17" s="65"/>
      <c r="D17" s="65"/>
      <c r="E17" s="65"/>
      <c r="F17" s="69">
        <v>241</v>
      </c>
      <c r="G17" s="68">
        <v>907.92</v>
      </c>
    </row>
    <row r="18" spans="1:7" x14ac:dyDescent="0.25">
      <c r="A18" s="66">
        <v>250</v>
      </c>
      <c r="B18" s="67" t="s">
        <v>36</v>
      </c>
      <c r="C18" s="65"/>
      <c r="D18" s="65"/>
      <c r="E18" s="65"/>
      <c r="F18" s="69">
        <v>200</v>
      </c>
      <c r="G18" s="73">
        <v>1077.0999999999999</v>
      </c>
    </row>
    <row r="19" spans="1:7" x14ac:dyDescent="0.25">
      <c r="A19" s="66">
        <v>310</v>
      </c>
      <c r="B19" s="67" t="s">
        <v>37</v>
      </c>
      <c r="C19" s="65"/>
      <c r="D19" s="65"/>
      <c r="E19" s="65"/>
      <c r="F19" s="69">
        <v>954</v>
      </c>
      <c r="G19" s="73">
        <v>5079.0600000000004</v>
      </c>
    </row>
    <row r="20" spans="1:7" x14ac:dyDescent="0.25">
      <c r="A20" s="66">
        <v>320</v>
      </c>
      <c r="B20" s="67" t="s">
        <v>38</v>
      </c>
      <c r="C20" s="65"/>
      <c r="D20" s="65"/>
      <c r="E20" s="65"/>
      <c r="F20" s="69">
        <v>836</v>
      </c>
      <c r="G20" s="73">
        <v>8471.01</v>
      </c>
    </row>
    <row r="21" spans="1:7" x14ac:dyDescent="0.25">
      <c r="A21" s="66">
        <v>330</v>
      </c>
      <c r="B21" s="67" t="s">
        <v>39</v>
      </c>
      <c r="C21" s="65"/>
      <c r="D21" s="65"/>
      <c r="E21" s="65"/>
      <c r="F21" s="69">
        <v>206</v>
      </c>
      <c r="G21" s="73">
        <v>1906.24</v>
      </c>
    </row>
    <row r="22" spans="1:7" x14ac:dyDescent="0.25">
      <c r="A22" s="66">
        <v>340</v>
      </c>
      <c r="B22" s="67" t="s">
        <v>40</v>
      </c>
      <c r="C22" s="65"/>
      <c r="D22" s="65"/>
      <c r="E22" s="65"/>
      <c r="F22" s="69">
        <v>171</v>
      </c>
      <c r="G22" s="73">
        <v>2287.83</v>
      </c>
    </row>
    <row r="23" spans="1:7" x14ac:dyDescent="0.25">
      <c r="A23" s="66">
        <v>350</v>
      </c>
      <c r="B23" s="67" t="s">
        <v>41</v>
      </c>
      <c r="C23" s="65"/>
      <c r="D23" s="65"/>
      <c r="E23" s="65"/>
      <c r="F23" s="69">
        <v>164</v>
      </c>
      <c r="G23" s="73">
        <v>1667.82</v>
      </c>
    </row>
    <row r="24" spans="1:7" x14ac:dyDescent="0.25">
      <c r="A24" s="66">
        <v>410</v>
      </c>
      <c r="B24" s="67" t="s">
        <v>42</v>
      </c>
      <c r="C24" s="65"/>
      <c r="D24" s="65"/>
      <c r="E24" s="65"/>
      <c r="F24" s="69">
        <v>4456</v>
      </c>
      <c r="G24" s="71">
        <v>16937.599999999999</v>
      </c>
    </row>
    <row r="25" spans="1:7" x14ac:dyDescent="0.25">
      <c r="A25" s="66">
        <v>420</v>
      </c>
      <c r="B25" s="67" t="s">
        <v>43</v>
      </c>
      <c r="C25" s="65"/>
      <c r="D25" s="65"/>
      <c r="E25" s="65"/>
      <c r="F25" s="69">
        <v>508</v>
      </c>
      <c r="G25" s="73">
        <v>2755.77</v>
      </c>
    </row>
    <row r="26" spans="1:7" x14ac:dyDescent="0.25">
      <c r="A26" s="66">
        <v>510</v>
      </c>
      <c r="B26" s="67" t="s">
        <v>44</v>
      </c>
      <c r="C26" s="65"/>
      <c r="D26" s="65"/>
      <c r="E26" s="65"/>
      <c r="F26" s="69">
        <v>354</v>
      </c>
      <c r="G26" s="73">
        <v>3395.96</v>
      </c>
    </row>
    <row r="27" spans="1:7" x14ac:dyDescent="0.25">
      <c r="A27" s="66">
        <v>520</v>
      </c>
      <c r="B27" s="67" t="s">
        <v>45</v>
      </c>
      <c r="C27" s="65"/>
      <c r="D27" s="65"/>
      <c r="E27" s="65"/>
      <c r="F27" s="69">
        <v>402</v>
      </c>
      <c r="G27" s="73">
        <v>7888.17</v>
      </c>
    </row>
    <row r="28" spans="1:7" x14ac:dyDescent="0.25">
      <c r="A28" s="66">
        <v>550</v>
      </c>
      <c r="B28" s="67" t="s">
        <v>48</v>
      </c>
      <c r="C28" s="65"/>
      <c r="D28" s="65"/>
      <c r="E28" s="65"/>
      <c r="F28" s="69">
        <v>3</v>
      </c>
      <c r="G28" s="72">
        <v>44.93</v>
      </c>
    </row>
    <row r="29" spans="1:7" x14ac:dyDescent="0.25">
      <c r="A29" s="66">
        <v>1300</v>
      </c>
      <c r="B29" s="67" t="s">
        <v>51</v>
      </c>
      <c r="C29" s="65"/>
      <c r="D29" s="65"/>
      <c r="E29" s="65"/>
      <c r="F29" s="69">
        <v>23</v>
      </c>
      <c r="G29" s="68">
        <v>151.88</v>
      </c>
    </row>
    <row r="30" spans="1:7" x14ac:dyDescent="0.25">
      <c r="A30" s="51"/>
      <c r="B30" s="52"/>
      <c r="C30" s="50"/>
      <c r="D30" s="50"/>
      <c r="E30" s="50"/>
      <c r="F30" s="53"/>
      <c r="G30" s="55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6"/>
    </sheetView>
  </sheetViews>
  <sheetFormatPr defaultRowHeight="15" x14ac:dyDescent="0.25"/>
  <sheetData>
    <row r="1" spans="1:7" x14ac:dyDescent="0.25">
      <c r="A1" s="60">
        <v>110</v>
      </c>
      <c r="B1" s="61" t="s">
        <v>22</v>
      </c>
      <c r="C1" s="59"/>
      <c r="D1" s="59"/>
      <c r="E1" s="59"/>
      <c r="F1" s="62">
        <v>27</v>
      </c>
      <c r="G1" s="63">
        <v>11.2</v>
      </c>
    </row>
    <row r="2" spans="1:7" x14ac:dyDescent="0.25">
      <c r="A2" s="60">
        <v>120</v>
      </c>
      <c r="B2" s="61" t="s">
        <v>23</v>
      </c>
      <c r="C2" s="59"/>
      <c r="D2" s="59"/>
      <c r="E2" s="59"/>
      <c r="F2" s="62">
        <v>50</v>
      </c>
      <c r="G2" s="63">
        <v>30.25</v>
      </c>
    </row>
    <row r="3" spans="1:7" x14ac:dyDescent="0.25">
      <c r="A3" s="60">
        <v>130</v>
      </c>
      <c r="B3" s="61" t="s">
        <v>24</v>
      </c>
      <c r="C3" s="59"/>
      <c r="D3" s="59"/>
      <c r="E3" s="59"/>
      <c r="F3" s="62">
        <v>2</v>
      </c>
      <c r="G3" s="64">
        <v>1.01</v>
      </c>
    </row>
    <row r="4" spans="1:7" x14ac:dyDescent="0.25">
      <c r="A4" s="60">
        <v>140</v>
      </c>
      <c r="B4" s="61" t="s">
        <v>25</v>
      </c>
      <c r="C4" s="59"/>
      <c r="D4" s="59"/>
      <c r="E4" s="59"/>
      <c r="F4" s="62">
        <v>4</v>
      </c>
      <c r="G4" s="64">
        <v>1.37</v>
      </c>
    </row>
    <row r="5" spans="1:7" x14ac:dyDescent="0.25">
      <c r="A5" s="60">
        <v>142</v>
      </c>
      <c r="B5" s="61" t="s">
        <v>26</v>
      </c>
      <c r="C5" s="59"/>
      <c r="D5" s="59"/>
      <c r="E5" s="59"/>
      <c r="F5" s="62">
        <v>174</v>
      </c>
      <c r="G5" s="59"/>
    </row>
    <row r="6" spans="1:7" x14ac:dyDescent="0.25">
      <c r="A6" s="60">
        <v>150</v>
      </c>
      <c r="B6" s="61" t="s">
        <v>27</v>
      </c>
      <c r="C6" s="59"/>
      <c r="D6" s="59"/>
      <c r="E6" s="59"/>
      <c r="F6" s="62">
        <v>43</v>
      </c>
      <c r="G6" s="63">
        <v>19.45</v>
      </c>
    </row>
    <row r="7" spans="1:7" x14ac:dyDescent="0.25">
      <c r="A7" s="60">
        <v>160</v>
      </c>
      <c r="B7" s="61" t="s">
        <v>28</v>
      </c>
      <c r="C7" s="59"/>
      <c r="D7" s="59"/>
      <c r="E7" s="59"/>
      <c r="F7" s="62">
        <v>3</v>
      </c>
      <c r="G7" s="64">
        <v>1.7</v>
      </c>
    </row>
    <row r="8" spans="1:7" x14ac:dyDescent="0.25">
      <c r="A8" s="60">
        <v>210</v>
      </c>
      <c r="B8" s="61" t="s">
        <v>32</v>
      </c>
      <c r="C8" s="59"/>
      <c r="D8" s="59"/>
      <c r="E8" s="59"/>
      <c r="F8" s="62">
        <v>26</v>
      </c>
      <c r="G8" s="59"/>
    </row>
    <row r="9" spans="1:7" x14ac:dyDescent="0.25">
      <c r="A9" s="60">
        <v>220</v>
      </c>
      <c r="B9" s="61" t="s">
        <v>33</v>
      </c>
      <c r="C9" s="59"/>
      <c r="D9" s="59"/>
      <c r="E9" s="59"/>
      <c r="F9" s="62">
        <v>2</v>
      </c>
      <c r="G9" s="64">
        <v>1.2</v>
      </c>
    </row>
    <row r="10" spans="1:7" x14ac:dyDescent="0.25">
      <c r="A10" s="60">
        <v>310</v>
      </c>
      <c r="B10" s="61" t="s">
        <v>37</v>
      </c>
      <c r="C10" s="59"/>
      <c r="D10" s="59"/>
      <c r="E10" s="59"/>
      <c r="F10" s="62">
        <v>3</v>
      </c>
      <c r="G10" s="64">
        <v>3.46</v>
      </c>
    </row>
    <row r="11" spans="1:7" x14ac:dyDescent="0.25">
      <c r="A11" s="60">
        <v>330</v>
      </c>
      <c r="B11" s="61" t="s">
        <v>39</v>
      </c>
      <c r="C11" s="59"/>
      <c r="D11" s="59"/>
      <c r="E11" s="59"/>
      <c r="F11" s="62">
        <v>2</v>
      </c>
      <c r="G11" s="64">
        <v>1.55</v>
      </c>
    </row>
    <row r="12" spans="1:7" x14ac:dyDescent="0.25">
      <c r="A12" s="60">
        <v>350</v>
      </c>
      <c r="B12" s="61" t="s">
        <v>41</v>
      </c>
      <c r="C12" s="59"/>
      <c r="D12" s="59"/>
      <c r="E12" s="59"/>
      <c r="F12" s="62">
        <v>3</v>
      </c>
      <c r="G12" s="64">
        <v>6.39</v>
      </c>
    </row>
    <row r="13" spans="1:7" x14ac:dyDescent="0.25">
      <c r="A13" s="60">
        <v>410</v>
      </c>
      <c r="B13" s="61" t="s">
        <v>42</v>
      </c>
      <c r="C13" s="59"/>
      <c r="D13" s="59"/>
      <c r="E13" s="59"/>
      <c r="F13" s="62">
        <v>3</v>
      </c>
      <c r="G13" s="64">
        <v>0.75</v>
      </c>
    </row>
    <row r="14" spans="1:7" x14ac:dyDescent="0.25">
      <c r="A14" s="60">
        <v>420</v>
      </c>
      <c r="B14" s="61" t="s">
        <v>43</v>
      </c>
      <c r="C14" s="59"/>
      <c r="D14" s="59"/>
      <c r="E14" s="59"/>
      <c r="F14" s="62">
        <v>1</v>
      </c>
      <c r="G14" s="64">
        <v>7</v>
      </c>
    </row>
    <row r="15" spans="1:7" x14ac:dyDescent="0.25">
      <c r="A15" s="60">
        <v>510</v>
      </c>
      <c r="B15" s="61" t="s">
        <v>44</v>
      </c>
      <c r="C15" s="59"/>
      <c r="D15" s="59"/>
      <c r="E15" s="59"/>
      <c r="F15" s="62">
        <v>1</v>
      </c>
      <c r="G15" s="64">
        <v>0.5</v>
      </c>
    </row>
    <row r="16" spans="1:7" x14ac:dyDescent="0.25">
      <c r="A16" s="60">
        <v>520</v>
      </c>
      <c r="B16" s="61" t="s">
        <v>45</v>
      </c>
      <c r="C16" s="59"/>
      <c r="D16" s="59"/>
      <c r="E16" s="59"/>
      <c r="F16" s="62">
        <v>2</v>
      </c>
      <c r="G16" s="64">
        <v>3.32</v>
      </c>
    </row>
    <row r="17" spans="1:7" x14ac:dyDescent="0.25">
      <c r="A17" s="51"/>
      <c r="B17" s="52"/>
      <c r="C17" s="50"/>
      <c r="D17" s="50"/>
      <c r="E17" s="50"/>
      <c r="F17" s="53"/>
      <c r="G17" s="54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7"/>
      <c r="B9" s="57"/>
      <c r="C9" s="57"/>
      <c r="D9" s="57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7"/>
      <c r="B12" s="57"/>
      <c r="C12" s="57"/>
      <c r="D12" s="57"/>
      <c r="E12" s="57"/>
      <c r="F12" s="57"/>
      <c r="G12" s="57"/>
      <c r="H12" s="57"/>
    </row>
    <row r="13" spans="1:8" ht="15" customHeight="1" x14ac:dyDescent="0.25">
      <c r="A13" s="57"/>
      <c r="B13" s="57"/>
      <c r="C13" s="57"/>
      <c r="D13" s="57"/>
      <c r="E13" s="57"/>
      <c r="F13" s="22"/>
      <c r="G13" s="25"/>
    </row>
    <row r="14" spans="1:8" x14ac:dyDescent="0.25">
      <c r="A14" s="22"/>
    </row>
    <row r="15" spans="1:8" x14ac:dyDescent="0.25">
      <c r="A15" s="57"/>
      <c r="B15" s="57"/>
      <c r="C15" s="57"/>
      <c r="D15" s="57"/>
      <c r="E15" s="57"/>
      <c r="F15" s="57"/>
      <c r="G15" s="57"/>
      <c r="H15" s="57"/>
    </row>
    <row r="16" spans="1:8" ht="15" customHeight="1" x14ac:dyDescent="0.25">
      <c r="A16" s="57"/>
      <c r="B16" s="57"/>
      <c r="C16" s="57"/>
      <c r="D16" s="57"/>
      <c r="E16" s="57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7"/>
      <c r="B544" s="57"/>
      <c r="C544" s="57"/>
      <c r="D544" s="57"/>
      <c r="E544" s="57"/>
      <c r="F544" s="57"/>
      <c r="G544" s="57"/>
      <c r="H544" s="57"/>
    </row>
    <row r="545" spans="1:8" ht="15" customHeight="1" x14ac:dyDescent="0.25">
      <c r="A545" s="57"/>
      <c r="B545" s="57"/>
      <c r="C545" s="57"/>
      <c r="D545" s="57"/>
      <c r="E545" s="57"/>
      <c r="F545" s="22"/>
      <c r="G545" s="25"/>
    </row>
    <row r="546" spans="1:8" x14ac:dyDescent="0.25">
      <c r="A546" s="22"/>
    </row>
    <row r="547" spans="1:8" x14ac:dyDescent="0.25">
      <c r="A547" s="57"/>
      <c r="B547" s="57"/>
      <c r="C547" s="57"/>
      <c r="D547" s="57"/>
      <c r="E547" s="57"/>
      <c r="F547" s="57"/>
      <c r="G547" s="57"/>
      <c r="H547" s="57"/>
    </row>
    <row r="548" spans="1:8" ht="15" customHeight="1" x14ac:dyDescent="0.25">
      <c r="A548" s="57"/>
      <c r="B548" s="57"/>
      <c r="C548" s="57"/>
      <c r="D548" s="57"/>
      <c r="E548" s="57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7"/>
      <c r="B729" s="57"/>
      <c r="C729" s="57"/>
      <c r="D729" s="57"/>
      <c r="E729" s="57"/>
      <c r="F729" s="57"/>
      <c r="G729" s="57"/>
      <c r="H729" s="57"/>
    </row>
    <row r="730" spans="1:8" ht="15" customHeight="1" x14ac:dyDescent="0.25">
      <c r="A730" s="57"/>
      <c r="B730" s="57"/>
      <c r="C730" s="57"/>
      <c r="D730" s="57"/>
      <c r="E730" s="57"/>
      <c r="F730" s="22"/>
      <c r="G730" s="25"/>
    </row>
    <row r="731" spans="1:8" x14ac:dyDescent="0.25">
      <c r="A731" s="22"/>
    </row>
    <row r="732" spans="1:8" x14ac:dyDescent="0.25">
      <c r="A732" s="57"/>
      <c r="B732" s="57"/>
      <c r="C732" s="57"/>
      <c r="D732" s="57"/>
      <c r="E732" s="57"/>
      <c r="F732" s="57"/>
      <c r="G732" s="57"/>
      <c r="H732" s="57"/>
    </row>
    <row r="733" spans="1:8" ht="15" customHeight="1" x14ac:dyDescent="0.25">
      <c r="A733" s="57"/>
      <c r="B733" s="57"/>
      <c r="C733" s="57"/>
      <c r="D733" s="57"/>
      <c r="E733" s="57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5" sqref="I25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58" t="s">
        <v>0</v>
      </c>
      <c r="B1" s="58"/>
      <c r="C1" s="58"/>
      <c r="D1" s="58"/>
      <c r="E1" s="58"/>
      <c r="F1" s="58"/>
      <c r="G1" s="58"/>
      <c r="I1" s="17" t="s">
        <v>54</v>
      </c>
      <c r="J1" s="18">
        <f>G10</f>
        <v>-645</v>
      </c>
      <c r="L1" s="39" t="s">
        <v>88</v>
      </c>
      <c r="M1" s="40">
        <f>30+12+24+24</f>
        <v>90</v>
      </c>
      <c r="O1" s="46" t="s">
        <v>7</v>
      </c>
      <c r="P1" s="47"/>
    </row>
    <row r="2" spans="1:16" ht="18.75" x14ac:dyDescent="0.4">
      <c r="A2" s="58"/>
      <c r="B2" s="58"/>
      <c r="C2" s="58"/>
      <c r="D2" s="58"/>
      <c r="E2" s="58"/>
      <c r="F2" s="58"/>
      <c r="G2" s="58"/>
      <c r="I2" s="13" t="s">
        <v>60</v>
      </c>
      <c r="J2" s="14">
        <f>D54*-1</f>
        <v>-89.149999999999991</v>
      </c>
      <c r="L2" s="41" t="s">
        <v>61</v>
      </c>
      <c r="M2" s="39">
        <f>J1+M1</f>
        <v>-555</v>
      </c>
      <c r="O2" s="46" t="s">
        <v>91</v>
      </c>
      <c r="P2" s="47"/>
    </row>
    <row r="3" spans="1:16" ht="18.75" x14ac:dyDescent="0.4">
      <c r="A3" s="58"/>
      <c r="B3" s="58"/>
      <c r="C3" s="58"/>
      <c r="D3" s="58"/>
      <c r="E3" s="58"/>
      <c r="F3" s="58"/>
      <c r="G3" s="58"/>
      <c r="I3" s="15" t="s">
        <v>53</v>
      </c>
      <c r="J3" s="16">
        <f>G54+J1+J2</f>
        <v>113936.20000000003</v>
      </c>
      <c r="O3" s="46" t="s">
        <v>89</v>
      </c>
      <c r="P3" s="56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8" t="s">
        <v>90</v>
      </c>
      <c r="P4" s="49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3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-645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-645</v>
      </c>
      <c r="J10" s="44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7.1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7.1</v>
      </c>
      <c r="J11" s="45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4.05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4.05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15843.36</v>
      </c>
      <c r="D22" s="3">
        <f>IFERROR(INDEX('SubDept Coupon (Local Discount)'!G$1:G$100,MATCH('SubDept Sales Report'!A22,'SubDept Coupon (Local Discount)'!A$1:A$100,0)),0)</f>
        <v>11.2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15854.560000000001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11670.71</v>
      </c>
      <c r="D23" s="3">
        <f>IFERROR(INDEX('SubDept Coupon (Local Discount)'!G$1:G$100,MATCH('SubDept Sales Report'!A23,'SubDept Coupon (Local Discount)'!A$1:A$100,0)),0)</f>
        <v>30.25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11700.96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3331.46</v>
      </c>
      <c r="D24" s="3">
        <f>IFERROR(INDEX('SubDept Coupon (Local Discount)'!G$1:G$100,MATCH('SubDept Sales Report'!A24,'SubDept Coupon (Local Discount)'!A$1:A$100,0)),0)</f>
        <v>1.01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3332.4700000000003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12948</v>
      </c>
      <c r="D25" s="3">
        <f>IFERROR(INDEX('SubDept Coupon (Local Discount)'!G$1:G$100,MATCH('SubDept Sales Report'!A25,'SubDept Coupon (Local Discount)'!A$1:A$100,0)),0)</f>
        <v>1.37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12949.37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1183.99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1183.99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2420.88</v>
      </c>
      <c r="D27" s="3">
        <f>IFERROR(INDEX('SubDept Coupon (Local Discount)'!G$1:G$100,MATCH('SubDept Sales Report'!A27,'SubDept Coupon (Local Discount)'!A$1:A$100,0)),0)</f>
        <v>19.45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2440.33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718.27</v>
      </c>
      <c r="D28" s="3">
        <f>IFERROR(INDEX('SubDept Coupon (Local Discount)'!G$1:G$100,MATCH('SubDept Sales Report'!A28,'SubDept Coupon (Local Discount)'!A$1:A$100,0)),0)</f>
        <v>1.7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719.97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265.27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265.27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896.41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896.41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9421.5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9421.5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2607.48</v>
      </c>
      <c r="D33" s="3">
        <f>IFERROR(INDEX('SubDept Coupon (Local Discount)'!G$1:G$100,MATCH('SubDept Sales Report'!A33,'SubDept Coupon (Local Discount)'!A$1:A$100,0)),0)</f>
        <v>1.2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2608.6799999999998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691.43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691.43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907.92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907.92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1077.0999999999999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1077.0999999999999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5079.0600000000004</v>
      </c>
      <c r="D39" s="3">
        <f>IFERROR(INDEX('SubDept Coupon (Local Discount)'!G$1:G$100,MATCH('SubDept Sales Report'!A39,'SubDept Coupon (Local Discount)'!A$1:A$100,0)),0)</f>
        <v>3.46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5082.5200000000004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8471.01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8471.01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1906.24</v>
      </c>
      <c r="D41" s="3">
        <f>IFERROR(INDEX('SubDept Coupon (Local Discount)'!G$1:G$100,MATCH('SubDept Sales Report'!A41,'SubDept Coupon (Local Discount)'!A$1:A$100,0)),0)</f>
        <v>1.55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1907.79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2287.83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2287.83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1667.82</v>
      </c>
      <c r="D43" s="3">
        <f>IFERROR(INDEX('SubDept Coupon (Local Discount)'!G$1:G$100,MATCH('SubDept Sales Report'!A43,'SubDept Coupon (Local Discount)'!A$1:A$100,0)),0)</f>
        <v>6.39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1674.21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16937.599999999999</v>
      </c>
      <c r="D44" s="3">
        <f>IFERROR(INDEX('SubDept Coupon (Local Discount)'!G$1:G$100,MATCH('SubDept Sales Report'!A44,'SubDept Coupon (Local Discount)'!A$1:A$100,0)),0)</f>
        <v>0.75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16938.349999999999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2755.77</v>
      </c>
      <c r="D45" s="3">
        <f>IFERROR(INDEX('SubDept Coupon (Local Discount)'!G$1:G$100,MATCH('SubDept Sales Report'!A45,'SubDept Coupon (Local Discount)'!A$1:A$100,0)),0)</f>
        <v>7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2762.77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3395.96</v>
      </c>
      <c r="D46" s="3">
        <f>IFERROR(INDEX('SubDept Coupon (Local Discount)'!G$1:G$100,MATCH('SubDept Sales Report'!A46,'SubDept Coupon (Local Discount)'!A$1:A$100,0)),0)</f>
        <v>0.5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3396.46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7888.17</v>
      </c>
      <c r="D47" s="3">
        <f>IFERROR(INDEX('SubDept Coupon (Local Discount)'!G$1:G$100,MATCH('SubDept Sales Report'!A47,'SubDept Coupon (Local Discount)'!A$1:A$100,0)),0)</f>
        <v>3.32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7891.49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44.93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44.93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151.88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151.88</v>
      </c>
      <c r="I53" s="12"/>
      <c r="J53" s="3"/>
      <c r="K53" s="3"/>
    </row>
    <row r="54" spans="1:11" x14ac:dyDescent="0.25">
      <c r="B54" s="19" t="s">
        <v>52</v>
      </c>
      <c r="C54" s="3">
        <f>SUM(C5:C53)</f>
        <v>113936.2</v>
      </c>
      <c r="D54" s="11">
        <f>SUM(D5:D53)</f>
        <v>89.149999999999991</v>
      </c>
      <c r="E54" s="11">
        <f>SUM(E5:E53)</f>
        <v>0</v>
      </c>
      <c r="F54" s="11">
        <f>SUM(F5:F53)</f>
        <v>0</v>
      </c>
      <c r="G54" s="38">
        <f>SUM(G11:G53,G9,G8,G7,G6,G5)</f>
        <v>114670.35000000002</v>
      </c>
      <c r="I54" s="12"/>
      <c r="J54" s="3"/>
      <c r="K54" s="3"/>
    </row>
  </sheetData>
  <autoFilter ref="A4:G54" xr:uid="{459199FD-0CD3-4C93-B98C-3BA614742282}">
    <filterColumn colId="6">
      <filters>
        <filter val="$(645.00)"/>
        <filter val="$1,077.10"/>
        <filter val="$1,183.99"/>
        <filter val="$1,674.21"/>
        <filter val="$1,907.79"/>
        <filter val="$11,700.96"/>
        <filter val="$114,670.35"/>
        <filter val="$12,949.37"/>
        <filter val="$15,854.56"/>
        <filter val="$151.88"/>
        <filter val="$16,938.35"/>
        <filter val="$2,287.83"/>
        <filter val="$2,440.33"/>
        <filter val="$2,608.68"/>
        <filter val="$2,762.77"/>
        <filter val="$265.27"/>
        <filter val="$3,332.47"/>
        <filter val="$3,396.46"/>
        <filter val="$4.05"/>
        <filter val="$44.93"/>
        <filter val="$5,082.52"/>
        <filter val="$691.43"/>
        <filter val="$7,891.49"/>
        <filter val="$7.10"/>
        <filter val="$719.97"/>
        <filter val="$8,471.01"/>
        <filter val="$896.41"/>
        <filter val="$9,421.50"/>
        <filter val="$907.92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2026-07-09T13:30:21Z</dcterms:modified>
</cp:coreProperties>
</file>