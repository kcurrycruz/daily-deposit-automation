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DF2F82B4-D940-4410-AF3E-5D87BD66558B}" xr6:coauthVersionLast="47" xr6:coauthVersionMax="47" xr10:uidLastSave="{00000000-0000-0000-0000-000000000000}"/>
  <bookViews>
    <workbookView xWindow="-24120" yWindow="-120" windowWidth="24240" windowHeight="130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<sst xmlns="http://schemas.openxmlformats.org/spreadsheetml/2006/main" count="138" uniqueCount="92">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</sst>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79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64" fontId="21" fillId="0" borderId="0" xfId="11" applyNumberFormat="1" applyFill="1" applyAlignment="1" applyProtection="1">
      <alignment horizontal="righ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7" fontId="21" fillId="0" borderId="0" xfId="11" applyNumberFormat="1" applyFill="1" applyAlignment="1" applyProtection="1">
      <alignment horizontal="right" vertical="top"/>
      <protection locked="0"/>
    </xf>
    <xf numFmtId="166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44" fontId="0" fillId="0" borderId="0" xfId="3" applyNumberFormat="1" applyFont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2B3F74DC-CEFC-42B7-93ED-83EB8DA0C805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activeCell="K11" sqref="K11"/>
    </sheetView>
  </sheetViews>
  <sheetFormatPr defaultRowHeight="15" x14ac:dyDescent="0.25"/>
  <cols>
    <col min="2" max="2" width="14.7109375" bestFit="1" customWidth="1"/>
  </cols>
  <sheetData>
    <row r="1" spans="1:7" x14ac:dyDescent="0.25">
      <c r="A1" s="64">
        <v>27</v>
      </c>
      <c r="B1" s="65" t="s">
        <v>11</v>
      </c>
      <c r="C1" s="63"/>
      <c r="D1" s="63"/>
      <c r="E1" s="63"/>
      <c r="F1" s="63"/>
      <c r="G1" s="66">
        <v>-345.08</v>
      </c>
    </row>
    <row r="2" spans="1:7" x14ac:dyDescent="0.25">
      <c r="A2" s="64">
        <v>28</v>
      </c>
      <c r="B2" s="65" t="s">
        <v>12</v>
      </c>
      <c r="C2" s="63"/>
      <c r="D2" s="63"/>
      <c r="E2" s="63"/>
      <c r="F2" s="67">
        <v>47</v>
      </c>
      <c r="G2" s="68">
        <v>4.7</v>
      </c>
    </row>
    <row r="3" spans="1:7" x14ac:dyDescent="0.25">
      <c r="A3" s="64">
        <v>38</v>
      </c>
      <c r="B3" s="65" t="s">
        <v>55</v>
      </c>
      <c r="C3" s="63"/>
      <c r="D3" s="63"/>
      <c r="E3" s="63"/>
      <c r="F3" s="67">
        <v>47</v>
      </c>
      <c r="G3" s="68">
        <v>2.35</v>
      </c>
    </row>
    <row r="4" spans="1:7" x14ac:dyDescent="0.25">
      <c r="A4" s="64">
        <v>110</v>
      </c>
      <c r="B4" s="65" t="s">
        <v>22</v>
      </c>
      <c r="C4" s="63"/>
      <c r="D4" s="63"/>
      <c r="E4" s="63"/>
      <c r="F4" s="67">
        <v>2784</v>
      </c>
      <c r="G4" s="69">
        <v>13242.82</v>
      </c>
    </row>
    <row r="5" spans="1:7" x14ac:dyDescent="0.25">
      <c r="A5" s="64">
        <v>120</v>
      </c>
      <c r="B5" s="65" t="s">
        <v>23</v>
      </c>
      <c r="C5" s="63"/>
      <c r="D5" s="63"/>
      <c r="E5" s="63"/>
      <c r="F5" s="67">
        <v>1967</v>
      </c>
      <c r="G5" s="70">
        <v>9933.8700000000008</v>
      </c>
    </row>
    <row r="6" spans="1:7" x14ac:dyDescent="0.25">
      <c r="A6" s="64">
        <v>130</v>
      </c>
      <c r="B6" s="65" t="s">
        <v>24</v>
      </c>
      <c r="C6" s="63"/>
      <c r="D6" s="63"/>
      <c r="E6" s="63"/>
      <c r="F6" s="67">
        <v>431</v>
      </c>
      <c r="G6" s="70">
        <v>2901.37</v>
      </c>
    </row>
    <row r="7" spans="1:7" x14ac:dyDescent="0.25">
      <c r="A7" s="64">
        <v>140</v>
      </c>
      <c r="B7" s="65" t="s">
        <v>25</v>
      </c>
      <c r="C7" s="63"/>
      <c r="D7" s="63"/>
      <c r="E7" s="63"/>
      <c r="F7" s="67">
        <v>1311</v>
      </c>
      <c r="G7" s="70">
        <v>9102.6299999999992</v>
      </c>
    </row>
    <row r="8" spans="1:7" x14ac:dyDescent="0.25">
      <c r="A8" s="64">
        <v>142</v>
      </c>
      <c r="B8" s="65" t="s">
        <v>26</v>
      </c>
      <c r="C8" s="63"/>
      <c r="D8" s="63"/>
      <c r="E8" s="63"/>
      <c r="F8" s="67">
        <v>194</v>
      </c>
      <c r="G8" s="66">
        <v>861.57</v>
      </c>
    </row>
    <row r="9" spans="1:7" x14ac:dyDescent="0.25">
      <c r="A9" s="64">
        <v>150</v>
      </c>
      <c r="B9" s="65" t="s">
        <v>27</v>
      </c>
      <c r="C9" s="63"/>
      <c r="D9" s="63"/>
      <c r="E9" s="63"/>
      <c r="F9" s="67">
        <v>319</v>
      </c>
      <c r="G9" s="70">
        <v>1862.8</v>
      </c>
    </row>
    <row r="10" spans="1:7" x14ac:dyDescent="0.25">
      <c r="A10" s="64">
        <v>160</v>
      </c>
      <c r="B10" s="65" t="s">
        <v>28</v>
      </c>
      <c r="C10" s="63"/>
      <c r="D10" s="63"/>
      <c r="E10" s="63"/>
      <c r="F10" s="67">
        <v>74</v>
      </c>
      <c r="G10" s="66">
        <v>728.66</v>
      </c>
    </row>
    <row r="11" spans="1:7" x14ac:dyDescent="0.25">
      <c r="A11" s="64">
        <v>170</v>
      </c>
      <c r="B11" s="65" t="s">
        <v>29</v>
      </c>
      <c r="C11" s="63"/>
      <c r="D11" s="63"/>
      <c r="E11" s="63"/>
      <c r="F11" s="63"/>
      <c r="G11" s="63"/>
    </row>
    <row r="12" spans="1:7" x14ac:dyDescent="0.25">
      <c r="A12" s="64">
        <v>180</v>
      </c>
      <c r="B12" s="65" t="s">
        <v>30</v>
      </c>
      <c r="C12" s="63"/>
      <c r="D12" s="63"/>
      <c r="E12" s="63"/>
      <c r="F12" s="67">
        <v>91</v>
      </c>
      <c r="G12" s="66">
        <v>276.99</v>
      </c>
    </row>
    <row r="13" spans="1:7" x14ac:dyDescent="0.25">
      <c r="A13" s="64">
        <v>190</v>
      </c>
      <c r="B13" s="65" t="s">
        <v>31</v>
      </c>
      <c r="C13" s="63"/>
      <c r="D13" s="63"/>
      <c r="E13" s="63"/>
      <c r="F13" s="67">
        <v>119</v>
      </c>
      <c r="G13" s="66">
        <v>900.89</v>
      </c>
    </row>
    <row r="14" spans="1:7" x14ac:dyDescent="0.25">
      <c r="A14" s="64">
        <v>210</v>
      </c>
      <c r="B14" s="65" t="s">
        <v>32</v>
      </c>
      <c r="C14" s="63"/>
      <c r="D14" s="63"/>
      <c r="E14" s="63"/>
      <c r="F14" s="67">
        <v>1079</v>
      </c>
      <c r="G14" s="70">
        <v>8931.0499999999993</v>
      </c>
    </row>
    <row r="15" spans="1:7" x14ac:dyDescent="0.25">
      <c r="A15" s="64">
        <v>220</v>
      </c>
      <c r="B15" s="65" t="s">
        <v>33</v>
      </c>
      <c r="C15" s="63"/>
      <c r="D15" s="63"/>
      <c r="E15" s="63"/>
      <c r="F15" s="67">
        <v>658</v>
      </c>
      <c r="G15" s="70">
        <v>2236.4899999999998</v>
      </c>
    </row>
    <row r="16" spans="1:7" x14ac:dyDescent="0.25">
      <c r="A16" s="64">
        <v>235</v>
      </c>
      <c r="B16" s="65" t="s">
        <v>59</v>
      </c>
      <c r="C16" s="63"/>
      <c r="D16" s="63"/>
      <c r="E16" s="63"/>
      <c r="F16" s="67">
        <v>54</v>
      </c>
      <c r="G16" s="66">
        <v>668.96</v>
      </c>
    </row>
    <row r="17" spans="1:7" x14ac:dyDescent="0.25">
      <c r="A17" s="64">
        <v>240</v>
      </c>
      <c r="B17" s="65" t="s">
        <v>35</v>
      </c>
      <c r="C17" s="63"/>
      <c r="D17" s="63"/>
      <c r="E17" s="63"/>
      <c r="F17" s="67">
        <v>203</v>
      </c>
      <c r="G17" s="66">
        <v>752.06</v>
      </c>
    </row>
    <row r="18" spans="1:7" x14ac:dyDescent="0.25">
      <c r="A18" s="64">
        <v>250</v>
      </c>
      <c r="B18" s="65" t="s">
        <v>36</v>
      </c>
      <c r="C18" s="63"/>
      <c r="D18" s="63"/>
      <c r="E18" s="63"/>
      <c r="F18" s="67">
        <v>191</v>
      </c>
      <c r="G18" s="70">
        <v>1089.3900000000001</v>
      </c>
    </row>
    <row r="19" spans="1:7" x14ac:dyDescent="0.25">
      <c r="A19" s="64">
        <v>310</v>
      </c>
      <c r="B19" s="65" t="s">
        <v>37</v>
      </c>
      <c r="C19" s="63"/>
      <c r="D19" s="63"/>
      <c r="E19" s="63"/>
      <c r="F19" s="67">
        <v>789</v>
      </c>
      <c r="G19" s="70">
        <v>4807.49</v>
      </c>
    </row>
    <row r="20" spans="1:7" x14ac:dyDescent="0.25">
      <c r="A20" s="64">
        <v>320</v>
      </c>
      <c r="B20" s="65" t="s">
        <v>38</v>
      </c>
      <c r="C20" s="63"/>
      <c r="D20" s="63"/>
      <c r="E20" s="63"/>
      <c r="F20" s="67">
        <v>825</v>
      </c>
      <c r="G20" s="70">
        <v>8357.84</v>
      </c>
    </row>
    <row r="21" spans="1:7" x14ac:dyDescent="0.25">
      <c r="A21" s="64">
        <v>330</v>
      </c>
      <c r="B21" s="65" t="s">
        <v>39</v>
      </c>
      <c r="C21" s="63"/>
      <c r="D21" s="63"/>
      <c r="E21" s="63"/>
      <c r="F21" s="67">
        <v>176</v>
      </c>
      <c r="G21" s="70">
        <v>1567.38</v>
      </c>
    </row>
    <row r="22" spans="1:7" x14ac:dyDescent="0.25">
      <c r="A22" s="64">
        <v>340</v>
      </c>
      <c r="B22" s="65" t="s">
        <v>40</v>
      </c>
      <c r="C22" s="63"/>
      <c r="D22" s="63"/>
      <c r="E22" s="63"/>
      <c r="F22" s="67">
        <v>133</v>
      </c>
      <c r="G22" s="70">
        <v>2007.27</v>
      </c>
    </row>
    <row r="23" spans="1:7" x14ac:dyDescent="0.25">
      <c r="A23" s="64">
        <v>350</v>
      </c>
      <c r="B23" s="65" t="s">
        <v>41</v>
      </c>
      <c r="C23" s="63"/>
      <c r="D23" s="63"/>
      <c r="E23" s="63"/>
      <c r="F23" s="67">
        <v>128</v>
      </c>
      <c r="G23" s="70">
        <v>1422.82</v>
      </c>
    </row>
    <row r="24" spans="1:7" x14ac:dyDescent="0.25">
      <c r="A24" s="64">
        <v>410</v>
      </c>
      <c r="B24" s="65" t="s">
        <v>42</v>
      </c>
      <c r="C24" s="63"/>
      <c r="D24" s="63"/>
      <c r="E24" s="63"/>
      <c r="F24" s="67">
        <v>4363</v>
      </c>
      <c r="G24" s="69">
        <v>14652.66</v>
      </c>
    </row>
    <row r="25" spans="1:7" x14ac:dyDescent="0.25">
      <c r="A25" s="64">
        <v>420</v>
      </c>
      <c r="B25" s="65" t="s">
        <v>43</v>
      </c>
      <c r="C25" s="63"/>
      <c r="D25" s="63"/>
      <c r="E25" s="63"/>
      <c r="F25" s="67">
        <v>141</v>
      </c>
      <c r="G25" s="70">
        <v>1112.6300000000001</v>
      </c>
    </row>
    <row r="26" spans="1:7" x14ac:dyDescent="0.25">
      <c r="A26" s="64">
        <v>510</v>
      </c>
      <c r="B26" s="65" t="s">
        <v>44</v>
      </c>
      <c r="C26" s="63"/>
      <c r="D26" s="63"/>
      <c r="E26" s="63"/>
      <c r="F26" s="67">
        <v>266</v>
      </c>
      <c r="G26" s="70">
        <v>2266.58</v>
      </c>
    </row>
    <row r="27" spans="1:7" x14ac:dyDescent="0.25">
      <c r="A27" s="64">
        <v>520</v>
      </c>
      <c r="B27" s="65" t="s">
        <v>45</v>
      </c>
      <c r="C27" s="63"/>
      <c r="D27" s="63"/>
      <c r="E27" s="63"/>
      <c r="F27" s="67">
        <v>236</v>
      </c>
      <c r="G27" s="70">
        <v>4178.71</v>
      </c>
    </row>
    <row r="28" spans="1:7" x14ac:dyDescent="0.25">
      <c r="A28" s="64">
        <v>550</v>
      </c>
      <c r="B28" s="65" t="s">
        <v>48</v>
      </c>
      <c r="C28" s="63"/>
      <c r="D28" s="63"/>
      <c r="E28" s="63"/>
      <c r="F28" s="67">
        <v>2</v>
      </c>
      <c r="G28" s="71">
        <v>23.98</v>
      </c>
    </row>
    <row r="29" spans="1:7" x14ac:dyDescent="0.25">
      <c r="A29" s="64">
        <v>1300</v>
      </c>
      <c r="B29" s="65" t="s">
        <v>51</v>
      </c>
      <c r="C29" s="63"/>
      <c r="D29" s="63"/>
      <c r="E29" s="63"/>
      <c r="F29" s="67">
        <v>24</v>
      </c>
      <c r="G29" s="71">
        <v>76.84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73">
        <v>110</v>
      </c>
      <c r="B1" s="74" t="s">
        <v>22</v>
      </c>
      <c r="C1" s="72"/>
      <c r="D1" s="72"/>
      <c r="E1" s="72"/>
      <c r="F1" s="75">
        <v>20</v>
      </c>
      <c r="G1" s="76">
        <v>7.1</v>
      </c>
    </row>
    <row r="2" spans="1:7" x14ac:dyDescent="0.25">
      <c r="A2" s="73">
        <v>120</v>
      </c>
      <c r="B2" s="74" t="s">
        <v>23</v>
      </c>
      <c r="C2" s="72"/>
      <c r="D2" s="72"/>
      <c r="E2" s="72"/>
      <c r="F2" s="75">
        <v>59</v>
      </c>
      <c r="G2" s="77">
        <v>34.4</v>
      </c>
    </row>
    <row r="3" spans="1:7" x14ac:dyDescent="0.25">
      <c r="A3" s="73">
        <v>130</v>
      </c>
      <c r="B3" s="74" t="s">
        <v>24</v>
      </c>
      <c r="C3" s="72"/>
      <c r="D3" s="72"/>
      <c r="E3" s="72"/>
      <c r="F3" s="75">
        <v>2</v>
      </c>
      <c r="G3" s="76">
        <v>0.8</v>
      </c>
    </row>
    <row r="4" spans="1:7" x14ac:dyDescent="0.25">
      <c r="A4" s="73">
        <v>140</v>
      </c>
      <c r="B4" s="74" t="s">
        <v>25</v>
      </c>
      <c r="C4" s="72"/>
      <c r="D4" s="72"/>
      <c r="E4" s="72"/>
      <c r="F4" s="76">
        <v>5.56</v>
      </c>
      <c r="G4" s="76">
        <v>7.44</v>
      </c>
    </row>
    <row r="5" spans="1:7" x14ac:dyDescent="0.25">
      <c r="A5" s="73">
        <v>142</v>
      </c>
      <c r="B5" s="74" t="s">
        <v>26</v>
      </c>
      <c r="C5" s="72"/>
      <c r="D5" s="72"/>
      <c r="E5" s="72"/>
      <c r="F5" s="75">
        <v>137</v>
      </c>
      <c r="G5" s="72"/>
    </row>
    <row r="6" spans="1:7" x14ac:dyDescent="0.25">
      <c r="A6" s="73">
        <v>150</v>
      </c>
      <c r="B6" s="74" t="s">
        <v>27</v>
      </c>
      <c r="C6" s="72"/>
      <c r="D6" s="72"/>
      <c r="E6" s="72"/>
      <c r="F6" s="75">
        <v>47</v>
      </c>
      <c r="G6" s="77">
        <v>17.329999999999998</v>
      </c>
    </row>
    <row r="7" spans="1:7" x14ac:dyDescent="0.25">
      <c r="A7" s="73">
        <v>160</v>
      </c>
      <c r="B7" s="74" t="s">
        <v>28</v>
      </c>
      <c r="C7" s="72"/>
      <c r="D7" s="72"/>
      <c r="E7" s="72"/>
      <c r="F7" s="75">
        <v>6</v>
      </c>
      <c r="G7" s="76">
        <v>4.2</v>
      </c>
    </row>
    <row r="8" spans="1:7" x14ac:dyDescent="0.25">
      <c r="A8" s="73">
        <v>210</v>
      </c>
      <c r="B8" s="74" t="s">
        <v>32</v>
      </c>
      <c r="C8" s="72"/>
      <c r="D8" s="72"/>
      <c r="E8" s="72"/>
      <c r="F8" s="75">
        <v>23</v>
      </c>
      <c r="G8" s="72"/>
    </row>
    <row r="9" spans="1:7" x14ac:dyDescent="0.25">
      <c r="A9" s="73">
        <v>220</v>
      </c>
      <c r="B9" s="74" t="s">
        <v>33</v>
      </c>
      <c r="C9" s="72"/>
      <c r="D9" s="72"/>
      <c r="E9" s="72"/>
      <c r="F9" s="75">
        <v>1</v>
      </c>
      <c r="G9" s="76">
        <v>0.55000000000000004</v>
      </c>
    </row>
    <row r="10" spans="1:7" x14ac:dyDescent="0.25">
      <c r="A10" s="73">
        <v>310</v>
      </c>
      <c r="B10" s="74" t="s">
        <v>37</v>
      </c>
      <c r="C10" s="72"/>
      <c r="D10" s="72"/>
      <c r="E10" s="72"/>
      <c r="F10" s="75">
        <v>5</v>
      </c>
      <c r="G10" s="76">
        <v>4.07</v>
      </c>
    </row>
    <row r="11" spans="1:7" x14ac:dyDescent="0.25">
      <c r="A11" s="73">
        <v>320</v>
      </c>
      <c r="B11" s="74" t="s">
        <v>38</v>
      </c>
      <c r="C11" s="72"/>
      <c r="D11" s="72"/>
      <c r="E11" s="72"/>
      <c r="F11" s="75">
        <v>2</v>
      </c>
      <c r="G11" s="72"/>
    </row>
    <row r="12" spans="1:7" x14ac:dyDescent="0.25">
      <c r="A12" s="73">
        <v>330</v>
      </c>
      <c r="B12" s="74" t="s">
        <v>39</v>
      </c>
      <c r="C12" s="72"/>
      <c r="D12" s="72"/>
      <c r="E12" s="72"/>
      <c r="F12" s="75">
        <v>8</v>
      </c>
      <c r="G12" s="76">
        <v>5.12</v>
      </c>
    </row>
    <row r="13" spans="1:7" x14ac:dyDescent="0.25">
      <c r="A13" s="73">
        <v>410</v>
      </c>
      <c r="B13" s="74" t="s">
        <v>42</v>
      </c>
      <c r="C13" s="72"/>
      <c r="D13" s="72"/>
      <c r="E13" s="72"/>
      <c r="F13" s="75">
        <v>4</v>
      </c>
      <c r="G13" s="76">
        <v>1.27</v>
      </c>
    </row>
    <row r="14" spans="1:7" x14ac:dyDescent="0.25">
      <c r="A14" s="73">
        <v>510</v>
      </c>
      <c r="B14" s="74" t="s">
        <v>44</v>
      </c>
      <c r="C14" s="72"/>
      <c r="D14" s="72"/>
      <c r="E14" s="72"/>
      <c r="F14" s="75">
        <v>2</v>
      </c>
      <c r="G14" s="76">
        <v>0.67</v>
      </c>
    </row>
    <row r="15" spans="1:7" x14ac:dyDescent="0.25">
      <c r="A15" s="57"/>
      <c r="B15" s="58"/>
      <c r="C15" s="56"/>
      <c r="D15" s="56"/>
      <c r="E15" s="56"/>
      <c r="F15" s="59"/>
      <c r="G15" s="60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1"/>
      <c r="B9" s="61"/>
      <c r="C9" s="61"/>
      <c r="D9" s="61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1"/>
      <c r="B12" s="61"/>
      <c r="C12" s="61"/>
      <c r="D12" s="61"/>
      <c r="E12" s="61"/>
      <c r="F12" s="61"/>
      <c r="G12" s="61"/>
      <c r="H12" s="61"/>
    </row>
    <row r="13" spans="1:8" ht="15" customHeight="1" x14ac:dyDescent="0.25">
      <c r="A13" s="61"/>
      <c r="B13" s="61"/>
      <c r="C13" s="61"/>
      <c r="D13" s="61"/>
      <c r="E13" s="61"/>
      <c r="F13" s="22"/>
      <c r="G13" s="25"/>
    </row>
    <row r="14" spans="1:8" x14ac:dyDescent="0.25">
      <c r="A14" s="22"/>
    </row>
    <row r="15" spans="1:8" x14ac:dyDescent="0.25">
      <c r="A15" s="61"/>
      <c r="B15" s="61"/>
      <c r="C15" s="61"/>
      <c r="D15" s="61"/>
      <c r="E15" s="61"/>
      <c r="F15" s="61"/>
      <c r="G15" s="61"/>
      <c r="H15" s="61"/>
    </row>
    <row r="16" spans="1:8" ht="15" customHeight="1" x14ac:dyDescent="0.25">
      <c r="A16" s="61"/>
      <c r="B16" s="61"/>
      <c r="C16" s="61"/>
      <c r="D16" s="61"/>
      <c r="E16" s="61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1"/>
      <c r="B544" s="61"/>
      <c r="C544" s="61"/>
      <c r="D544" s="61"/>
      <c r="E544" s="61"/>
      <c r="F544" s="61"/>
      <c r="G544" s="61"/>
      <c r="H544" s="61"/>
    </row>
    <row r="545" spans="1:8" ht="15" customHeight="1" x14ac:dyDescent="0.25">
      <c r="A545" s="61"/>
      <c r="B545" s="61"/>
      <c r="C545" s="61"/>
      <c r="D545" s="61"/>
      <c r="E545" s="61"/>
      <c r="F545" s="22"/>
      <c r="G545" s="25"/>
    </row>
    <row r="546" spans="1:8" x14ac:dyDescent="0.25">
      <c r="A546" s="22"/>
    </row>
    <row r="547" spans="1:8" x14ac:dyDescent="0.25">
      <c r="A547" s="61"/>
      <c r="B547" s="61"/>
      <c r="C547" s="61"/>
      <c r="D547" s="61"/>
      <c r="E547" s="61"/>
      <c r="F547" s="61"/>
      <c r="G547" s="61"/>
      <c r="H547" s="61"/>
    </row>
    <row r="548" spans="1:8" ht="15" customHeight="1" x14ac:dyDescent="0.25">
      <c r="A548" s="61"/>
      <c r="B548" s="61"/>
      <c r="C548" s="61"/>
      <c r="D548" s="61"/>
      <c r="E548" s="61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1"/>
      <c r="B729" s="61"/>
      <c r="C729" s="61"/>
      <c r="D729" s="61"/>
      <c r="E729" s="61"/>
      <c r="F729" s="61"/>
      <c r="G729" s="61"/>
      <c r="H729" s="61"/>
    </row>
    <row r="730" spans="1:8" ht="15" customHeight="1" x14ac:dyDescent="0.25">
      <c r="A730" s="61"/>
      <c r="B730" s="61"/>
      <c r="C730" s="61"/>
      <c r="D730" s="61"/>
      <c r="E730" s="61"/>
      <c r="F730" s="22"/>
      <c r="G730" s="25"/>
    </row>
    <row r="731" spans="1:8" x14ac:dyDescent="0.25">
      <c r="A731" s="22"/>
    </row>
    <row r="732" spans="1:8" x14ac:dyDescent="0.25">
      <c r="A732" s="61"/>
      <c r="B732" s="61"/>
      <c r="C732" s="61"/>
      <c r="D732" s="61"/>
      <c r="E732" s="61"/>
      <c r="F732" s="61"/>
      <c r="G732" s="61"/>
      <c r="H732" s="61"/>
    </row>
    <row r="733" spans="1:8" ht="15" customHeight="1" x14ac:dyDescent="0.25">
      <c r="A733" s="61"/>
      <c r="B733" s="61"/>
      <c r="C733" s="61"/>
      <c r="D733" s="61"/>
      <c r="E733" s="61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30" sqref="J30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2" t="s">
        <v>0</v>
      </c>
      <c r="B1" s="62"/>
      <c r="C1" s="62"/>
      <c r="D1" s="62"/>
      <c r="E1" s="62"/>
      <c r="F1" s="62"/>
      <c r="G1" s="62"/>
      <c r="I1" s="17" t="s">
        <v>54</v>
      </c>
      <c r="J1" s="18">
        <f>G10</f>
        <v>-345.08</v>
      </c>
      <c r="L1" s="39" t="s">
        <v>88</v>
      </c>
      <c r="M1" s="40">
        <f>18+12+6</f>
        <v>36</v>
      </c>
      <c r="O1" s="45" t="s">
        <v>7</v>
      </c>
      <c r="P1" s="46"/>
    </row>
    <row r="2" spans="1:16" ht="18.75" x14ac:dyDescent="0.4">
      <c r="A2" s="62"/>
      <c r="B2" s="62"/>
      <c r="C2" s="62"/>
      <c r="D2" s="62"/>
      <c r="E2" s="62"/>
      <c r="F2" s="62"/>
      <c r="G2" s="62"/>
      <c r="I2" s="13" t="s">
        <v>60</v>
      </c>
      <c r="J2" s="14">
        <f>D54*-1</f>
        <v>-82.949999999999989</v>
      </c>
      <c r="L2" s="41" t="s">
        <v>61</v>
      </c>
      <c r="M2" s="39">
        <f>J1+M1</f>
        <v>-309.08</v>
      </c>
      <c r="O2" s="45" t="s">
        <v>91</v>
      </c>
      <c r="P2" s="46"/>
    </row>
    <row r="3" spans="1:16" ht="18.75" x14ac:dyDescent="0.4">
      <c r="A3" s="62"/>
      <c r="B3" s="62"/>
      <c r="C3" s="62"/>
      <c r="D3" s="62"/>
      <c r="E3" s="62"/>
      <c r="F3" s="62"/>
      <c r="G3" s="62"/>
      <c r="I3" s="15" t="s">
        <v>53</v>
      </c>
      <c r="J3" s="16">
        <f>G54+J1+J2</f>
        <v>93625.72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-345.08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8">
        <f>C10+D10</f>
        <v>-345.08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4.7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8">
        <f t="shared" si="0"/>
        <v>4.7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2.35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8">
        <f t="shared" si="0"/>
        <v>2.35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13242.82</v>
      </c>
      <c r="D22" s="3">
        <f>IFERROR(INDEX('SubDept Coupon (Local Discount)'!G$1:G$100,MATCH('SubDept Sales Report'!A22,'SubDept Coupon (Local Discount)'!A$1:A$100,0)),0)</f>
        <v>7.1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8">
        <f t="shared" si="0"/>
        <v>13249.92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9933.8700000000008</v>
      </c>
      <c r="D23" s="3">
        <f>IFERROR(INDEX('SubDept Coupon (Local Discount)'!G$1:G$100,MATCH('SubDept Sales Report'!A23,'SubDept Coupon (Local Discount)'!A$1:A$100,0)),0)</f>
        <v>34.4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8">
        <f t="shared" si="0"/>
        <v>9968.27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2901.37</v>
      </c>
      <c r="D24" s="3">
        <f>IFERROR(INDEX('SubDept Coupon (Local Discount)'!G$1:G$100,MATCH('SubDept Sales Report'!A24,'SubDept Coupon (Local Discount)'!A$1:A$100,0)),0)</f>
        <v>0.8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8">
        <f t="shared" si="0"/>
        <v>2902.17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9102.6299999999992</v>
      </c>
      <c r="D25" s="3">
        <f>IFERROR(INDEX('SubDept Coupon (Local Discount)'!G$1:G$100,MATCH('SubDept Sales Report'!A25,'SubDept Coupon (Local Discount)'!A$1:A$100,0)),0)</f>
        <v>7.44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8">
        <f t="shared" si="0"/>
        <v>9110.07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861.57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8">
        <f t="shared" si="0"/>
        <v>861.57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1862.8</v>
      </c>
      <c r="D27" s="3">
        <f>IFERROR(INDEX('SubDept Coupon (Local Discount)'!G$1:G$100,MATCH('SubDept Sales Report'!A27,'SubDept Coupon (Local Discount)'!A$1:A$100,0)),0)</f>
        <v>17.329999999999998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8">
        <f t="shared" si="0"/>
        <v>1880.1299999999999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728.66</v>
      </c>
      <c r="D28" s="3">
        <f>IFERROR(INDEX('SubDept Coupon (Local Discount)'!G$1:G$100,MATCH('SubDept Sales Report'!A28,'SubDept Coupon (Local Discount)'!A$1:A$100,0)),0)</f>
        <v>4.2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8">
        <f t="shared" si="0"/>
        <v>732.86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276.99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8">
        <f t="shared" si="0"/>
        <v>276.99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900.89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8">
        <f t="shared" si="0"/>
        <v>900.89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8931.0499999999993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8">
        <f t="shared" si="0"/>
        <v>8931.0499999999993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2236.4899999999998</v>
      </c>
      <c r="D33" s="3">
        <f>IFERROR(INDEX('SubDept Coupon (Local Discount)'!G$1:G$100,MATCH('SubDept Sales Report'!A33,'SubDept Coupon (Local Discount)'!A$1:A$100,0)),0)</f>
        <v>0.55000000000000004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8">
        <f t="shared" si="0"/>
        <v>2237.04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668.96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8">
        <f t="shared" si="0"/>
        <v>668.96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752.06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8">
        <f t="shared" si="0"/>
        <v>752.06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1089.3900000000001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8">
        <f t="shared" si="0"/>
        <v>1089.3900000000001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4807.49</v>
      </c>
      <c r="D39" s="3">
        <f>IFERROR(INDEX('SubDept Coupon (Local Discount)'!G$1:G$100,MATCH('SubDept Sales Report'!A39,'SubDept Coupon (Local Discount)'!A$1:A$100,0)),0)</f>
        <v>4.07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8">
        <f t="shared" si="0"/>
        <v>4811.5599999999995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8357.84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8">
        <f t="shared" si="0"/>
        <v>8357.84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1567.38</v>
      </c>
      <c r="D41" s="3">
        <f>IFERROR(INDEX('SubDept Coupon (Local Discount)'!G$1:G$100,MATCH('SubDept Sales Report'!A41,'SubDept Coupon (Local Discount)'!A$1:A$100,0)),0)</f>
        <v>5.12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8">
        <f t="shared" si="0"/>
        <v>1572.5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2007.27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8">
        <f t="shared" si="0"/>
        <v>2007.27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1422.82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8">
        <f t="shared" si="0"/>
        <v>1422.82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14652.66</v>
      </c>
      <c r="D44" s="3">
        <f>IFERROR(INDEX('SubDept Coupon (Local Discount)'!G$1:G$100,MATCH('SubDept Sales Report'!A44,'SubDept Coupon (Local Discount)'!A$1:A$100,0)),0)</f>
        <v>1.27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8">
        <f t="shared" si="0"/>
        <v>14653.93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1112.6300000000001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8">
        <f t="shared" si="0"/>
        <v>1112.6300000000001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2266.58</v>
      </c>
      <c r="D46" s="3">
        <f>IFERROR(INDEX('SubDept Coupon (Local Discount)'!G$1:G$100,MATCH('SubDept Sales Report'!A46,'SubDept Coupon (Local Discount)'!A$1:A$100,0)),0)</f>
        <v>0.67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8">
        <f t="shared" si="0"/>
        <v>2267.25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4178.71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8">
        <f t="shared" si="0"/>
        <v>4178.71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23.98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8">
        <f t="shared" si="0"/>
        <v>23.98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76.84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8">
        <f t="shared" si="0"/>
        <v>76.84</v>
      </c>
      <c r="I53" s="12"/>
      <c r="J53" s="3"/>
      <c r="K53" s="3"/>
    </row>
    <row r="54" spans="1:11" x14ac:dyDescent="0.25">
      <c r="B54" s="19" t="s">
        <v>52</v>
      </c>
      <c r="C54" s="3">
        <f>SUM(C5:C53)</f>
        <v>93625.720000000016</v>
      </c>
      <c r="D54" s="11">
        <f>SUM(D5:D53)</f>
        <v>82.949999999999989</v>
      </c>
      <c r="E54" s="11">
        <f>SUM(E5:E53)</f>
        <v>0</v>
      </c>
      <c r="F54" s="11">
        <f>SUM(F5:F53)</f>
        <v>0</v>
      </c>
      <c r="G54" s="38">
        <f>SUM(G11:G53,G9,G8,G7,G6,G5)</f>
        <v>94053.75</v>
      </c>
      <c r="I54" s="12"/>
      <c r="J54" s="3"/>
      <c r="K54" s="3"/>
    </row>
  </sheetData>
  <autoFilter ref="A4:G54" xr:uid="{459199FD-0CD3-4C93-B98C-3BA614742282}">
    <filterColumn colId="6">
      <filters>
        <filter val="$(345.08)"/>
        <filter val="$1,089.39"/>
        <filter val="$1,112.63"/>
        <filter val="$1,422.82"/>
        <filter val="$1,572.50"/>
        <filter val="$1,880.13"/>
        <filter val="$13,249.92"/>
        <filter val="$14,653.93"/>
        <filter val="$2,007.27"/>
        <filter val="$2,237.04"/>
        <filter val="$2,267.25"/>
        <filter val="$2,902.17"/>
        <filter val="$2.35"/>
        <filter val="$23.98"/>
        <filter val="$276.99"/>
        <filter val="$4,178.71"/>
        <filter val="$4,811.56"/>
        <filter val="$4.70"/>
        <filter val="$668.96"/>
        <filter val="$732.86"/>
        <filter val="$752.06"/>
        <filter val="$76.84"/>
        <filter val="$8,357.84"/>
        <filter val="$8,931.05"/>
        <filter val="$861.57"/>
        <filter val="$9,110.07"/>
        <filter val="$9,968.27"/>
        <filter val="$900.89"/>
        <filter val="$94,053.7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2026-08-04T14:49:25Z</dcterms:modified>
</cp:coreProperties>
</file>