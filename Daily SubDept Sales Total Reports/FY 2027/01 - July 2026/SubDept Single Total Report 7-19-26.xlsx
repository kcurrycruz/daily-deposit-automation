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353E2A26-5FB2-4B99-AB39-97846457005C}" xr6:coauthVersionLast="47" xr6:coauthVersionMax="47" xr10:uidLastSave="{00000000-0000-0000-0000-000000000000}"/>
  <bookViews>
    <workbookView xWindow="-24120" yWindow="-120" windowWidth="24240" windowHeight="1302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23" i="1" l="1"/>
  <c r="G34" i="1"/>
  <c r="G10" i="1"/>
  <c r="J1" i="1" s="1"/>
  <c r="G31" i="1"/>
  <c r="G44" i="1"/>
  <c r="G52" i="1"/>
  <c r="G11" i="1"/>
  <c r="G19" i="1"/>
  <c r="G27" i="1"/>
  <c r="G36" i="1"/>
  <c r="G13" i="1"/>
  <c r="G21" i="1"/>
  <c r="G29" i="1"/>
  <c r="G7" i="1"/>
  <c r="G15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M2" i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<sst xmlns="http://schemas.openxmlformats.org/spreadsheetml/2006/main" count="136" uniqueCount="92">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</sst>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80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64" fontId="21" fillId="0" borderId="0" xfId="11" applyNumberFormat="1" applyFill="1" applyAlignment="1" applyProtection="1">
      <alignment horizontal="righ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7" fontId="21" fillId="0" borderId="0" xfId="11" applyNumberFormat="1" applyFill="1" applyAlignment="1" applyProtection="1">
      <alignment horizontal="right" vertical="top"/>
      <protection locked="0"/>
    </xf>
    <xf numFmtId="166" fontId="21" fillId="0" borderId="0" xfId="11" applyNumberFormat="1" applyFill="1" applyAlignment="1" applyProtection="1">
      <alignment horizontal="right" vertical="top"/>
      <protection locked="0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44" fontId="0" fillId="0" borderId="0" xfId="3" applyNumberFormat="1" applyFont="1"/>
    <xf numFmtId="44" fontId="0" fillId="0" borderId="2" xfId="3" applyNumberFormat="1" applyFont="1" applyBorder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3A88E69C-3D4F-4001-889E-7D9621AAE522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activeCell="K21" sqref="K21"/>
    </sheetView>
  </sheetViews>
  <sheetFormatPr defaultRowHeight="15" x14ac:dyDescent="0.25"/>
  <cols>
    <col min="2" max="2" width="14.7109375" bestFit="1" customWidth="1"/>
  </cols>
  <sheetData>
    <row r="1" spans="1:7" x14ac:dyDescent="0.25">
      <c r="A1" s="64">
        <v>27</v>
      </c>
      <c r="B1" s="65" t="s">
        <v>11</v>
      </c>
      <c r="C1" s="63"/>
      <c r="D1" s="63"/>
      <c r="E1" s="63"/>
      <c r="F1" s="63"/>
      <c r="G1" s="66">
        <v>-572</v>
      </c>
    </row>
    <row r="2" spans="1:7" x14ac:dyDescent="0.25">
      <c r="A2" s="64">
        <v>28</v>
      </c>
      <c r="B2" s="65" t="s">
        <v>12</v>
      </c>
      <c r="C2" s="63"/>
      <c r="D2" s="63"/>
      <c r="E2" s="63"/>
      <c r="F2" s="67">
        <v>128</v>
      </c>
      <c r="G2" s="68">
        <v>12.8</v>
      </c>
    </row>
    <row r="3" spans="1:7" x14ac:dyDescent="0.25">
      <c r="A3" s="64">
        <v>38</v>
      </c>
      <c r="B3" s="65" t="s">
        <v>55</v>
      </c>
      <c r="C3" s="63"/>
      <c r="D3" s="63"/>
      <c r="E3" s="63"/>
      <c r="F3" s="67">
        <v>130</v>
      </c>
      <c r="G3" s="69">
        <v>6.5</v>
      </c>
    </row>
    <row r="4" spans="1:7" x14ac:dyDescent="0.25">
      <c r="A4" s="64">
        <v>110</v>
      </c>
      <c r="B4" s="65" t="s">
        <v>22</v>
      </c>
      <c r="C4" s="63"/>
      <c r="D4" s="63"/>
      <c r="E4" s="63"/>
      <c r="F4" s="67">
        <v>3709</v>
      </c>
      <c r="G4" s="70">
        <v>17199.330000000002</v>
      </c>
    </row>
    <row r="5" spans="1:7" x14ac:dyDescent="0.25">
      <c r="A5" s="64">
        <v>120</v>
      </c>
      <c r="B5" s="65" t="s">
        <v>23</v>
      </c>
      <c r="C5" s="63"/>
      <c r="D5" s="63"/>
      <c r="E5" s="63"/>
      <c r="F5" s="67">
        <v>2591</v>
      </c>
      <c r="G5" s="70">
        <v>13003.26</v>
      </c>
    </row>
    <row r="6" spans="1:7" x14ac:dyDescent="0.25">
      <c r="A6" s="64">
        <v>130</v>
      </c>
      <c r="B6" s="65" t="s">
        <v>24</v>
      </c>
      <c r="C6" s="63"/>
      <c r="D6" s="63"/>
      <c r="E6" s="63"/>
      <c r="F6" s="67">
        <v>623</v>
      </c>
      <c r="G6" s="71">
        <v>4292.6400000000003</v>
      </c>
    </row>
    <row r="7" spans="1:7" x14ac:dyDescent="0.25">
      <c r="A7" s="64">
        <v>140</v>
      </c>
      <c r="B7" s="65" t="s">
        <v>25</v>
      </c>
      <c r="C7" s="63"/>
      <c r="D7" s="63"/>
      <c r="E7" s="63"/>
      <c r="F7" s="67">
        <v>1663</v>
      </c>
      <c r="G7" s="70">
        <v>11156.19</v>
      </c>
    </row>
    <row r="8" spans="1:7" x14ac:dyDescent="0.25">
      <c r="A8" s="64">
        <v>142</v>
      </c>
      <c r="B8" s="65" t="s">
        <v>26</v>
      </c>
      <c r="C8" s="63"/>
      <c r="D8" s="63"/>
      <c r="E8" s="63"/>
      <c r="F8" s="67">
        <v>169</v>
      </c>
      <c r="G8" s="66">
        <v>797.58</v>
      </c>
    </row>
    <row r="9" spans="1:7" x14ac:dyDescent="0.25">
      <c r="A9" s="64">
        <v>150</v>
      </c>
      <c r="B9" s="65" t="s">
        <v>27</v>
      </c>
      <c r="C9" s="63"/>
      <c r="D9" s="63"/>
      <c r="E9" s="63"/>
      <c r="F9" s="67">
        <v>417</v>
      </c>
      <c r="G9" s="71">
        <v>2443.81</v>
      </c>
    </row>
    <row r="10" spans="1:7" x14ac:dyDescent="0.25">
      <c r="A10" s="64">
        <v>160</v>
      </c>
      <c r="B10" s="65" t="s">
        <v>28</v>
      </c>
      <c r="C10" s="63"/>
      <c r="D10" s="63"/>
      <c r="E10" s="63"/>
      <c r="F10" s="67">
        <v>93</v>
      </c>
      <c r="G10" s="71">
        <v>1016.25</v>
      </c>
    </row>
    <row r="11" spans="1:7" x14ac:dyDescent="0.25">
      <c r="A11" s="64">
        <v>180</v>
      </c>
      <c r="B11" s="65" t="s">
        <v>30</v>
      </c>
      <c r="C11" s="63"/>
      <c r="D11" s="63"/>
      <c r="E11" s="63"/>
      <c r="F11" s="67">
        <v>126</v>
      </c>
      <c r="G11" s="66">
        <v>417.84</v>
      </c>
    </row>
    <row r="12" spans="1:7" x14ac:dyDescent="0.25">
      <c r="A12" s="64">
        <v>190</v>
      </c>
      <c r="B12" s="65" t="s">
        <v>31</v>
      </c>
      <c r="C12" s="63"/>
      <c r="D12" s="63"/>
      <c r="E12" s="63"/>
      <c r="F12" s="67">
        <v>165</v>
      </c>
      <c r="G12" s="71">
        <v>1079.45</v>
      </c>
    </row>
    <row r="13" spans="1:7" x14ac:dyDescent="0.25">
      <c r="A13" s="64">
        <v>210</v>
      </c>
      <c r="B13" s="65" t="s">
        <v>32</v>
      </c>
      <c r="C13" s="63"/>
      <c r="D13" s="63"/>
      <c r="E13" s="63"/>
      <c r="F13" s="67">
        <v>1009</v>
      </c>
      <c r="G13" s="71">
        <v>8427.1299999999992</v>
      </c>
    </row>
    <row r="14" spans="1:7" x14ac:dyDescent="0.25">
      <c r="A14" s="64">
        <v>220</v>
      </c>
      <c r="B14" s="65" t="s">
        <v>33</v>
      </c>
      <c r="C14" s="63"/>
      <c r="D14" s="63"/>
      <c r="E14" s="63"/>
      <c r="F14" s="67">
        <v>720</v>
      </c>
      <c r="G14" s="71">
        <v>2592.79</v>
      </c>
    </row>
    <row r="15" spans="1:7" x14ac:dyDescent="0.25">
      <c r="A15" s="64">
        <v>230</v>
      </c>
      <c r="B15" s="65" t="s">
        <v>34</v>
      </c>
      <c r="C15" s="63"/>
      <c r="D15" s="63"/>
      <c r="E15" s="63"/>
      <c r="F15" s="67">
        <v>8</v>
      </c>
      <c r="G15" s="66">
        <v>411.03</v>
      </c>
    </row>
    <row r="16" spans="1:7" x14ac:dyDescent="0.25">
      <c r="A16" s="64">
        <v>235</v>
      </c>
      <c r="B16" s="65" t="s">
        <v>59</v>
      </c>
      <c r="C16" s="63"/>
      <c r="D16" s="63"/>
      <c r="E16" s="63"/>
      <c r="F16" s="67">
        <v>43</v>
      </c>
      <c r="G16" s="66">
        <v>522.57000000000005</v>
      </c>
    </row>
    <row r="17" spans="1:7" x14ac:dyDescent="0.25">
      <c r="A17" s="64">
        <v>240</v>
      </c>
      <c r="B17" s="65" t="s">
        <v>35</v>
      </c>
      <c r="C17" s="63"/>
      <c r="D17" s="63"/>
      <c r="E17" s="63"/>
      <c r="F17" s="67">
        <v>228</v>
      </c>
      <c r="G17" s="66">
        <v>795.48</v>
      </c>
    </row>
    <row r="18" spans="1:7" x14ac:dyDescent="0.25">
      <c r="A18" s="64">
        <v>310</v>
      </c>
      <c r="B18" s="65" t="s">
        <v>37</v>
      </c>
      <c r="C18" s="63"/>
      <c r="D18" s="63"/>
      <c r="E18" s="63"/>
      <c r="F18" s="67">
        <v>1051</v>
      </c>
      <c r="G18" s="71">
        <v>6044.4</v>
      </c>
    </row>
    <row r="19" spans="1:7" x14ac:dyDescent="0.25">
      <c r="A19" s="64">
        <v>320</v>
      </c>
      <c r="B19" s="65" t="s">
        <v>38</v>
      </c>
      <c r="C19" s="63"/>
      <c r="D19" s="63"/>
      <c r="E19" s="63"/>
      <c r="F19" s="67">
        <v>874</v>
      </c>
      <c r="G19" s="71">
        <v>9194.56</v>
      </c>
    </row>
    <row r="20" spans="1:7" x14ac:dyDescent="0.25">
      <c r="A20" s="64">
        <v>330</v>
      </c>
      <c r="B20" s="65" t="s">
        <v>39</v>
      </c>
      <c r="C20" s="63"/>
      <c r="D20" s="63"/>
      <c r="E20" s="63"/>
      <c r="F20" s="67">
        <v>226</v>
      </c>
      <c r="G20" s="71">
        <v>1796.38</v>
      </c>
    </row>
    <row r="21" spans="1:7" x14ac:dyDescent="0.25">
      <c r="A21" s="64">
        <v>340</v>
      </c>
      <c r="B21" s="65" t="s">
        <v>40</v>
      </c>
      <c r="C21" s="63"/>
      <c r="D21" s="63"/>
      <c r="E21" s="63"/>
      <c r="F21" s="67">
        <v>183</v>
      </c>
      <c r="G21" s="71">
        <v>2819.38</v>
      </c>
    </row>
    <row r="22" spans="1:7" x14ac:dyDescent="0.25">
      <c r="A22" s="64">
        <v>350</v>
      </c>
      <c r="B22" s="65" t="s">
        <v>41</v>
      </c>
      <c r="C22" s="63"/>
      <c r="D22" s="63"/>
      <c r="E22" s="63"/>
      <c r="F22" s="67">
        <v>160</v>
      </c>
      <c r="G22" s="71">
        <v>1421.17</v>
      </c>
    </row>
    <row r="23" spans="1:7" x14ac:dyDescent="0.25">
      <c r="A23" s="64">
        <v>410</v>
      </c>
      <c r="B23" s="65" t="s">
        <v>42</v>
      </c>
      <c r="C23" s="63"/>
      <c r="D23" s="63"/>
      <c r="E23" s="63"/>
      <c r="F23" s="67">
        <v>5424</v>
      </c>
      <c r="G23" s="70">
        <v>18456.79</v>
      </c>
    </row>
    <row r="24" spans="1:7" x14ac:dyDescent="0.25">
      <c r="A24" s="64">
        <v>420</v>
      </c>
      <c r="B24" s="65" t="s">
        <v>43</v>
      </c>
      <c r="C24" s="63"/>
      <c r="D24" s="63"/>
      <c r="E24" s="63"/>
      <c r="F24" s="67">
        <v>282</v>
      </c>
      <c r="G24" s="71">
        <v>1946.11</v>
      </c>
    </row>
    <row r="25" spans="1:7" x14ac:dyDescent="0.25">
      <c r="A25" s="64">
        <v>510</v>
      </c>
      <c r="B25" s="65" t="s">
        <v>44</v>
      </c>
      <c r="C25" s="63"/>
      <c r="D25" s="63"/>
      <c r="E25" s="63"/>
      <c r="F25" s="67">
        <v>353</v>
      </c>
      <c r="G25" s="71">
        <v>2939.55</v>
      </c>
    </row>
    <row r="26" spans="1:7" x14ac:dyDescent="0.25">
      <c r="A26" s="64">
        <v>520</v>
      </c>
      <c r="B26" s="65" t="s">
        <v>45</v>
      </c>
      <c r="C26" s="63"/>
      <c r="D26" s="63"/>
      <c r="E26" s="63"/>
      <c r="F26" s="67">
        <v>377</v>
      </c>
      <c r="G26" s="71">
        <v>6121.48</v>
      </c>
    </row>
    <row r="27" spans="1:7" x14ac:dyDescent="0.25">
      <c r="A27" s="64">
        <v>550</v>
      </c>
      <c r="B27" s="65" t="s">
        <v>48</v>
      </c>
      <c r="C27" s="63"/>
      <c r="D27" s="63"/>
      <c r="E27" s="63"/>
      <c r="F27" s="67">
        <v>4</v>
      </c>
      <c r="G27" s="68">
        <v>31.96</v>
      </c>
    </row>
    <row r="28" spans="1:7" x14ac:dyDescent="0.25">
      <c r="A28" s="64">
        <v>1300</v>
      </c>
      <c r="B28" s="65" t="s">
        <v>51</v>
      </c>
      <c r="C28" s="63"/>
      <c r="D28" s="63"/>
      <c r="E28" s="63"/>
      <c r="F28" s="67">
        <v>19</v>
      </c>
      <c r="G28" s="66">
        <v>132.93</v>
      </c>
    </row>
    <row r="29" spans="1:7" x14ac:dyDescent="0.25">
      <c r="A29" s="56"/>
      <c r="B29" s="57"/>
      <c r="C29" s="55"/>
      <c r="D29" s="55"/>
      <c r="E29" s="55"/>
      <c r="F29" s="58"/>
      <c r="G29" s="59"/>
    </row>
    <row r="30" spans="1:7" x14ac:dyDescent="0.25">
      <c r="A30" s="49"/>
      <c r="B30" s="50"/>
      <c r="C30" s="48"/>
      <c r="D30" s="48"/>
      <c r="E30" s="48"/>
      <c r="F30" s="51"/>
      <c r="G30" s="53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H22" sqref="H22"/>
    </sheetView>
  </sheetViews>
  <sheetFormatPr defaultRowHeight="15" x14ac:dyDescent="0.25"/>
  <sheetData>
    <row r="1" spans="1:7" x14ac:dyDescent="0.25">
      <c r="A1" s="73">
        <v>110</v>
      </c>
      <c r="B1" s="74" t="s">
        <v>22</v>
      </c>
      <c r="C1" s="72"/>
      <c r="D1" s="72"/>
      <c r="E1" s="72"/>
      <c r="F1" s="75">
        <v>19</v>
      </c>
      <c r="G1" s="76">
        <v>7.68</v>
      </c>
    </row>
    <row r="2" spans="1:7" x14ac:dyDescent="0.25">
      <c r="A2" s="73">
        <v>120</v>
      </c>
      <c r="B2" s="74" t="s">
        <v>23</v>
      </c>
      <c r="C2" s="72"/>
      <c r="D2" s="72"/>
      <c r="E2" s="72"/>
      <c r="F2" s="75">
        <v>53</v>
      </c>
      <c r="G2" s="77">
        <v>29.89</v>
      </c>
    </row>
    <row r="3" spans="1:7" x14ac:dyDescent="0.25">
      <c r="A3" s="73">
        <v>130</v>
      </c>
      <c r="B3" s="74" t="s">
        <v>24</v>
      </c>
      <c r="C3" s="72"/>
      <c r="D3" s="72"/>
      <c r="E3" s="72"/>
      <c r="F3" s="75">
        <v>3</v>
      </c>
      <c r="G3" s="76">
        <v>2.58</v>
      </c>
    </row>
    <row r="4" spans="1:7" x14ac:dyDescent="0.25">
      <c r="A4" s="73">
        <v>140</v>
      </c>
      <c r="B4" s="74" t="s">
        <v>25</v>
      </c>
      <c r="C4" s="72"/>
      <c r="D4" s="72"/>
      <c r="E4" s="72"/>
      <c r="F4" s="77">
        <v>11.13</v>
      </c>
      <c r="G4" s="76">
        <v>4.95</v>
      </c>
    </row>
    <row r="5" spans="1:7" x14ac:dyDescent="0.25">
      <c r="A5" s="73">
        <v>142</v>
      </c>
      <c r="B5" s="74" t="s">
        <v>26</v>
      </c>
      <c r="C5" s="72"/>
      <c r="D5" s="72"/>
      <c r="E5" s="72"/>
      <c r="F5" s="75">
        <v>132</v>
      </c>
      <c r="G5" s="72"/>
    </row>
    <row r="6" spans="1:7" x14ac:dyDescent="0.25">
      <c r="A6" s="73">
        <v>150</v>
      </c>
      <c r="B6" s="74" t="s">
        <v>27</v>
      </c>
      <c r="C6" s="72"/>
      <c r="D6" s="72"/>
      <c r="E6" s="72"/>
      <c r="F6" s="75">
        <v>44</v>
      </c>
      <c r="G6" s="77">
        <v>20.9</v>
      </c>
    </row>
    <row r="7" spans="1:7" x14ac:dyDescent="0.25">
      <c r="A7" s="73">
        <v>160</v>
      </c>
      <c r="B7" s="74" t="s">
        <v>28</v>
      </c>
      <c r="C7" s="72"/>
      <c r="D7" s="72"/>
      <c r="E7" s="72"/>
      <c r="F7" s="75">
        <v>4</v>
      </c>
      <c r="G7" s="76">
        <v>2.82</v>
      </c>
    </row>
    <row r="8" spans="1:7" x14ac:dyDescent="0.25">
      <c r="A8" s="73">
        <v>210</v>
      </c>
      <c r="B8" s="74" t="s">
        <v>32</v>
      </c>
      <c r="C8" s="72"/>
      <c r="D8" s="72"/>
      <c r="E8" s="72"/>
      <c r="F8" s="75">
        <v>34</v>
      </c>
      <c r="G8" s="72"/>
    </row>
    <row r="9" spans="1:7" x14ac:dyDescent="0.25">
      <c r="A9" s="73">
        <v>220</v>
      </c>
      <c r="B9" s="74" t="s">
        <v>33</v>
      </c>
      <c r="C9" s="72"/>
      <c r="D9" s="72"/>
      <c r="E9" s="72"/>
      <c r="F9" s="75">
        <v>2</v>
      </c>
      <c r="G9" s="76">
        <v>1.1000000000000001</v>
      </c>
    </row>
    <row r="10" spans="1:7" x14ac:dyDescent="0.25">
      <c r="A10" s="73">
        <v>310</v>
      </c>
      <c r="B10" s="74" t="s">
        <v>37</v>
      </c>
      <c r="C10" s="72"/>
      <c r="D10" s="72"/>
      <c r="E10" s="72"/>
      <c r="F10" s="75">
        <v>7</v>
      </c>
      <c r="G10" s="76">
        <v>3.23</v>
      </c>
    </row>
    <row r="11" spans="1:7" x14ac:dyDescent="0.25">
      <c r="A11" s="73">
        <v>330</v>
      </c>
      <c r="B11" s="74" t="s">
        <v>39</v>
      </c>
      <c r="C11" s="72"/>
      <c r="D11" s="72"/>
      <c r="E11" s="72"/>
      <c r="F11" s="75">
        <v>5</v>
      </c>
      <c r="G11" s="76">
        <v>5.74</v>
      </c>
    </row>
    <row r="12" spans="1:7" x14ac:dyDescent="0.25">
      <c r="A12" s="73">
        <v>410</v>
      </c>
      <c r="B12" s="74" t="s">
        <v>42</v>
      </c>
      <c r="C12" s="72"/>
      <c r="D12" s="72"/>
      <c r="E12" s="72"/>
      <c r="F12" s="75">
        <v>3</v>
      </c>
      <c r="G12" s="76">
        <v>0.95</v>
      </c>
    </row>
    <row r="13" spans="1:7" x14ac:dyDescent="0.25">
      <c r="A13" s="73">
        <v>520</v>
      </c>
      <c r="B13" s="74" t="s">
        <v>45</v>
      </c>
      <c r="C13" s="72"/>
      <c r="D13" s="72"/>
      <c r="E13" s="72"/>
      <c r="F13" s="75">
        <v>1</v>
      </c>
      <c r="G13" s="76">
        <v>0.78</v>
      </c>
    </row>
    <row r="14" spans="1:7" x14ac:dyDescent="0.25">
      <c r="A14" s="56"/>
      <c r="B14" s="57"/>
      <c r="C14" s="55"/>
      <c r="D14" s="55"/>
      <c r="E14" s="55"/>
      <c r="F14" s="58"/>
      <c r="G14" s="60"/>
    </row>
    <row r="15" spans="1:7" x14ac:dyDescent="0.25">
      <c r="A15" s="56"/>
      <c r="B15" s="57"/>
      <c r="C15" s="55"/>
      <c r="D15" s="55"/>
      <c r="E15" s="55"/>
      <c r="F15" s="58"/>
      <c r="G15" s="60"/>
    </row>
    <row r="16" spans="1:7" x14ac:dyDescent="0.25">
      <c r="A16" s="49"/>
      <c r="B16" s="50"/>
      <c r="C16" s="48"/>
      <c r="D16" s="48"/>
      <c r="E16" s="48"/>
      <c r="F16" s="51"/>
      <c r="G16" s="52"/>
    </row>
    <row r="17" spans="1:7" x14ac:dyDescent="0.25">
      <c r="A17" s="49"/>
      <c r="B17" s="50"/>
      <c r="C17" s="48"/>
      <c r="D17" s="48"/>
      <c r="E17" s="48"/>
      <c r="F17" s="51"/>
      <c r="G17" s="52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1"/>
      <c r="B9" s="61"/>
      <c r="C9" s="61"/>
      <c r="D9" s="61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1"/>
      <c r="B12" s="61"/>
      <c r="C12" s="61"/>
      <c r="D12" s="61"/>
      <c r="E12" s="61"/>
      <c r="F12" s="61"/>
      <c r="G12" s="61"/>
      <c r="H12" s="61"/>
    </row>
    <row r="13" spans="1:8" ht="15" customHeight="1" x14ac:dyDescent="0.25">
      <c r="A13" s="61"/>
      <c r="B13" s="61"/>
      <c r="C13" s="61"/>
      <c r="D13" s="61"/>
      <c r="E13" s="61"/>
      <c r="F13" s="22"/>
      <c r="G13" s="25"/>
    </row>
    <row r="14" spans="1:8" x14ac:dyDescent="0.25">
      <c r="A14" s="22"/>
    </row>
    <row r="15" spans="1:8" x14ac:dyDescent="0.25">
      <c r="A15" s="61"/>
      <c r="B15" s="61"/>
      <c r="C15" s="61"/>
      <c r="D15" s="61"/>
      <c r="E15" s="61"/>
      <c r="F15" s="61"/>
      <c r="G15" s="61"/>
      <c r="H15" s="61"/>
    </row>
    <row r="16" spans="1:8" ht="15" customHeight="1" x14ac:dyDescent="0.25">
      <c r="A16" s="61"/>
      <c r="B16" s="61"/>
      <c r="C16" s="61"/>
      <c r="D16" s="61"/>
      <c r="E16" s="61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1"/>
      <c r="B544" s="61"/>
      <c r="C544" s="61"/>
      <c r="D544" s="61"/>
      <c r="E544" s="61"/>
      <c r="F544" s="61"/>
      <c r="G544" s="61"/>
      <c r="H544" s="61"/>
    </row>
    <row r="545" spans="1:8" ht="15" customHeight="1" x14ac:dyDescent="0.25">
      <c r="A545" s="61"/>
      <c r="B545" s="61"/>
      <c r="C545" s="61"/>
      <c r="D545" s="61"/>
      <c r="E545" s="61"/>
      <c r="F545" s="22"/>
      <c r="G545" s="25"/>
    </row>
    <row r="546" spans="1:8" x14ac:dyDescent="0.25">
      <c r="A546" s="22"/>
    </row>
    <row r="547" spans="1:8" x14ac:dyDescent="0.25">
      <c r="A547" s="61"/>
      <c r="B547" s="61"/>
      <c r="C547" s="61"/>
      <c r="D547" s="61"/>
      <c r="E547" s="61"/>
      <c r="F547" s="61"/>
      <c r="G547" s="61"/>
      <c r="H547" s="61"/>
    </row>
    <row r="548" spans="1:8" ht="15" customHeight="1" x14ac:dyDescent="0.25">
      <c r="A548" s="61"/>
      <c r="B548" s="61"/>
      <c r="C548" s="61"/>
      <c r="D548" s="61"/>
      <c r="E548" s="61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1"/>
      <c r="B729" s="61"/>
      <c r="C729" s="61"/>
      <c r="D729" s="61"/>
      <c r="E729" s="61"/>
      <c r="F729" s="61"/>
      <c r="G729" s="61"/>
      <c r="H729" s="61"/>
    </row>
    <row r="730" spans="1:8" ht="15" customHeight="1" x14ac:dyDescent="0.25">
      <c r="A730" s="61"/>
      <c r="B730" s="61"/>
      <c r="C730" s="61"/>
      <c r="D730" s="61"/>
      <c r="E730" s="61"/>
      <c r="F730" s="22"/>
      <c r="G730" s="25"/>
    </row>
    <row r="731" spans="1:8" x14ac:dyDescent="0.25">
      <c r="A731" s="22"/>
    </row>
    <row r="732" spans="1:8" x14ac:dyDescent="0.25">
      <c r="A732" s="61"/>
      <c r="B732" s="61"/>
      <c r="C732" s="61"/>
      <c r="D732" s="61"/>
      <c r="E732" s="61"/>
      <c r="F732" s="61"/>
      <c r="G732" s="61"/>
      <c r="H732" s="61"/>
    </row>
    <row r="733" spans="1:8" ht="15" customHeight="1" x14ac:dyDescent="0.25">
      <c r="A733" s="61"/>
      <c r="B733" s="61"/>
      <c r="C733" s="61"/>
      <c r="D733" s="61"/>
      <c r="E733" s="61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L23" sqref="L23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2" t="s">
        <v>0</v>
      </c>
      <c r="B1" s="62"/>
      <c r="C1" s="62"/>
      <c r="D1" s="62"/>
      <c r="E1" s="62"/>
      <c r="F1" s="62"/>
      <c r="G1" s="62"/>
      <c r="I1" s="17" t="s">
        <v>54</v>
      </c>
      <c r="J1" s="18">
        <f>G10</f>
        <v>-572</v>
      </c>
      <c r="L1" s="38" t="s">
        <v>88</v>
      </c>
      <c r="M1" s="39">
        <v>42</v>
      </c>
      <c r="O1" s="44" t="s">
        <v>7</v>
      </c>
      <c r="P1" s="45"/>
    </row>
    <row r="2" spans="1:16" ht="18.75" x14ac:dyDescent="0.4">
      <c r="A2" s="62"/>
      <c r="B2" s="62"/>
      <c r="C2" s="62"/>
      <c r="D2" s="62"/>
      <c r="E2" s="62"/>
      <c r="F2" s="62"/>
      <c r="G2" s="62"/>
      <c r="I2" s="13" t="s">
        <v>60</v>
      </c>
      <c r="J2" s="14">
        <f>D54*-1</f>
        <v>-80.61999999999999</v>
      </c>
      <c r="L2" s="40" t="s">
        <v>61</v>
      </c>
      <c r="M2" s="38">
        <f>J1+M1</f>
        <v>-530</v>
      </c>
      <c r="O2" s="44" t="s">
        <v>91</v>
      </c>
      <c r="P2" s="45"/>
    </row>
    <row r="3" spans="1:16" ht="18.75" x14ac:dyDescent="0.4">
      <c r="A3" s="62"/>
      <c r="B3" s="62"/>
      <c r="C3" s="62"/>
      <c r="D3" s="62"/>
      <c r="E3" s="62"/>
      <c r="F3" s="62"/>
      <c r="G3" s="62"/>
      <c r="I3" s="15" t="s">
        <v>53</v>
      </c>
      <c r="J3" s="16">
        <f>G54+J1+J2</f>
        <v>114507.36</v>
      </c>
      <c r="O3" s="44" t="s">
        <v>89</v>
      </c>
      <c r="P3" s="54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6" t="s">
        <v>90</v>
      </c>
      <c r="P4" s="47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2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1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-572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8">
        <f>C10+D10</f>
        <v>-572</v>
      </c>
      <c r="J10" s="42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12.8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8">
        <f t="shared" si="0"/>
        <v>12.8</v>
      </c>
      <c r="J11" s="43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6.5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8">
        <f t="shared" si="0"/>
        <v>6.5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17199.330000000002</v>
      </c>
      <c r="D22" s="3">
        <f>IFERROR(INDEX('SubDept Coupon (Local Discount)'!G$1:G$100,MATCH('SubDept Sales Report'!A22,'SubDept Coupon (Local Discount)'!A$1:A$100,0)),0)</f>
        <v>7.68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8">
        <f t="shared" si="0"/>
        <v>17207.010000000002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13003.26</v>
      </c>
      <c r="D23" s="3">
        <f>IFERROR(INDEX('SubDept Coupon (Local Discount)'!G$1:G$100,MATCH('SubDept Sales Report'!A23,'SubDept Coupon (Local Discount)'!A$1:A$100,0)),0)</f>
        <v>29.89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8">
        <f t="shared" si="0"/>
        <v>13033.15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4292.6400000000003</v>
      </c>
      <c r="D24" s="3">
        <f>IFERROR(INDEX('SubDept Coupon (Local Discount)'!G$1:G$100,MATCH('SubDept Sales Report'!A24,'SubDept Coupon (Local Discount)'!A$1:A$100,0)),0)</f>
        <v>2.58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8">
        <f t="shared" si="0"/>
        <v>4295.22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11156.19</v>
      </c>
      <c r="D25" s="3">
        <f>IFERROR(INDEX('SubDept Coupon (Local Discount)'!G$1:G$100,MATCH('SubDept Sales Report'!A25,'SubDept Coupon (Local Discount)'!A$1:A$100,0)),0)</f>
        <v>4.95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8">
        <f t="shared" si="0"/>
        <v>11161.140000000001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797.58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8">
        <f t="shared" si="0"/>
        <v>797.58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2443.81</v>
      </c>
      <c r="D27" s="3">
        <f>IFERROR(INDEX('SubDept Coupon (Local Discount)'!G$1:G$100,MATCH('SubDept Sales Report'!A27,'SubDept Coupon (Local Discount)'!A$1:A$100,0)),0)</f>
        <v>20.9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8">
        <f t="shared" si="0"/>
        <v>2464.71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1016.25</v>
      </c>
      <c r="D28" s="3">
        <f>IFERROR(INDEX('SubDept Coupon (Local Discount)'!G$1:G$100,MATCH('SubDept Sales Report'!A28,'SubDept Coupon (Local Discount)'!A$1:A$100,0)),0)</f>
        <v>2.82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8">
        <f t="shared" si="0"/>
        <v>1019.07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417.84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8">
        <f t="shared" si="0"/>
        <v>417.84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1079.45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8">
        <f t="shared" si="0"/>
        <v>1079.45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8427.1299999999992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8">
        <f t="shared" si="0"/>
        <v>8427.1299999999992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2592.79</v>
      </c>
      <c r="D33" s="3">
        <f>IFERROR(INDEX('SubDept Coupon (Local Discount)'!G$1:G$100,MATCH('SubDept Sales Report'!A33,'SubDept Coupon (Local Discount)'!A$1:A$100,0)),0)</f>
        <v>1.1000000000000001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8">
        <f t="shared" si="0"/>
        <v>2593.89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411.03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78">
        <f>C34+D34</f>
        <v>411.03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522.57000000000005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8">
        <f t="shared" si="0"/>
        <v>522.57000000000005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795.48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8">
        <f t="shared" si="0"/>
        <v>795.48</v>
      </c>
      <c r="I36" s="12"/>
      <c r="J36" s="3"/>
      <c r="K36" s="3"/>
    </row>
    <row r="37" spans="1:11" hidden="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0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0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6044.4</v>
      </c>
      <c r="D39" s="3">
        <f>IFERROR(INDEX('SubDept Coupon (Local Discount)'!G$1:G$100,MATCH('SubDept Sales Report'!A39,'SubDept Coupon (Local Discount)'!A$1:A$100,0)),0)</f>
        <v>3.23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8">
        <f t="shared" si="0"/>
        <v>6047.6299999999992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9194.56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8">
        <f t="shared" si="0"/>
        <v>9194.56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1796.38</v>
      </c>
      <c r="D41" s="3">
        <f>IFERROR(INDEX('SubDept Coupon (Local Discount)'!G$1:G$100,MATCH('SubDept Sales Report'!A41,'SubDept Coupon (Local Discount)'!A$1:A$100,0)),0)</f>
        <v>5.74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8">
        <f t="shared" si="0"/>
        <v>1802.1200000000001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2819.38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8">
        <f t="shared" si="0"/>
        <v>2819.38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1421.17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8">
        <f t="shared" si="0"/>
        <v>1421.17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18456.79</v>
      </c>
      <c r="D44" s="3">
        <f>IFERROR(INDEX('SubDept Coupon (Local Discount)'!G$1:G$100,MATCH('SubDept Sales Report'!A44,'SubDept Coupon (Local Discount)'!A$1:A$100,0)),0)</f>
        <v>0.95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8">
        <f t="shared" si="0"/>
        <v>18457.740000000002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1946.11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8">
        <f t="shared" si="0"/>
        <v>1946.11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2939.55</v>
      </c>
      <c r="D46" s="3">
        <f>IFERROR(INDEX('SubDept Coupon (Local Discount)'!G$1:G$100,MATCH('SubDept Sales Report'!A46,'SubDept Coupon (Local Discount)'!A$1:A$100,0)),0)</f>
        <v>0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8">
        <f t="shared" si="0"/>
        <v>2939.55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6121.48</v>
      </c>
      <c r="D47" s="3">
        <f>IFERROR(INDEX('SubDept Coupon (Local Discount)'!G$1:G$100,MATCH('SubDept Sales Report'!A47,'SubDept Coupon (Local Discount)'!A$1:A$100,0)),0)</f>
        <v>0.78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8">
        <f t="shared" si="0"/>
        <v>6122.2599999999993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31.96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8">
        <f t="shared" si="0"/>
        <v>31.96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132.93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8">
        <f t="shared" si="0"/>
        <v>132.93</v>
      </c>
      <c r="I53" s="12"/>
      <c r="J53" s="3"/>
      <c r="K53" s="3"/>
    </row>
    <row r="54" spans="1:11" x14ac:dyDescent="0.25">
      <c r="B54" s="19" t="s">
        <v>52</v>
      </c>
      <c r="C54" s="3">
        <f>SUM(C5:C53)</f>
        <v>114507.35999999999</v>
      </c>
      <c r="D54" s="11">
        <f>SUM(D5:D53)</f>
        <v>80.61999999999999</v>
      </c>
      <c r="E54" s="11">
        <f>SUM(E5:E53)</f>
        <v>0</v>
      </c>
      <c r="F54" s="11">
        <f>SUM(F5:F53)</f>
        <v>0</v>
      </c>
      <c r="G54" s="79">
        <f>SUM(G11:G53,G9,G8,G7,G6,G5)</f>
        <v>115159.98</v>
      </c>
      <c r="I54" s="12"/>
      <c r="J54" s="3"/>
      <c r="K54" s="3"/>
    </row>
  </sheetData>
  <autoFilter ref="A4:G54" xr:uid="{459199FD-0CD3-4C93-B98C-3BA614742282}">
    <filterColumn colId="6">
      <filters>
        <filter val="1019.07"/>
        <filter val="1079.45"/>
        <filter val="11161.14"/>
        <filter val="115159.98"/>
        <filter val="12.8"/>
        <filter val="13033.15"/>
        <filter val="132.93"/>
        <filter val="1421.17"/>
        <filter val="17207.01"/>
        <filter val="1802.12"/>
        <filter val="18457.74"/>
        <filter val="1946.11"/>
        <filter val="2464.71"/>
        <filter val="2593.89"/>
        <filter val="2819.38"/>
        <filter val="2939.55"/>
        <filter val="31.96"/>
        <filter val="411.03"/>
        <filter val="417.84"/>
        <filter val="4295.22"/>
        <filter val="522.57"/>
        <filter val="-572"/>
        <filter val="6.5"/>
        <filter val="6047.63"/>
        <filter val="6122.26"/>
        <filter val="795.48"/>
        <filter val="797.58"/>
        <filter val="8427.13"/>
        <filter val="9194.56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2026-07-20T15:04:02Z</dcterms:modified>
</cp:coreProperties>
</file>