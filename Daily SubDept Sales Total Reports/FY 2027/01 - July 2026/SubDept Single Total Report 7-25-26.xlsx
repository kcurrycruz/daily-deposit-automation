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F788798D-352E-4727-B1D5-98FB29380ECD}" xr6:coauthVersionLast="47" xr6:coauthVersionMax="47" xr10:uidLastSave="{00000000-0000-0000-0000-000000000000}"/>
  <bookViews>
    <workbookView xWindow="28740" yWindow="-60" windowWidth="28920" windowHeight="156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<sst xmlns="http://schemas.openxmlformats.org/spreadsheetml/2006/main" count="138" uniqueCount="92">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</sst>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  <xf numFmtId="0" fontId="21" fillId="0" borderId="0"/>
  </cellStyleXfs>
  <cellXfs count="80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21" fillId="0" borderId="0" xfId="11"/>
    <xf numFmtId="1" fontId="22" fillId="0" borderId="0" xfId="11" applyNumberFormat="1" applyFont="1" applyFill="1" applyAlignment="1" applyProtection="1">
      <alignment horizontal="left" vertical="top"/>
      <protection locked="0"/>
    </xf>
    <xf numFmtId="0" fontId="22" fillId="0" borderId="0" xfId="11" applyFont="1" applyFill="1" applyAlignment="1" applyProtection="1">
      <alignment horizontal="left" vertical="top"/>
      <protection locked="0"/>
    </xf>
    <xf numFmtId="1" fontId="21" fillId="0" borderId="0" xfId="11" applyNumberFormat="1" applyFill="1" applyAlignment="1" applyProtection="1">
      <alignment horizontal="right" vertical="top"/>
      <protection locked="0"/>
    </xf>
    <xf numFmtId="165" fontId="21" fillId="0" borderId="0" xfId="11" applyNumberFormat="1" applyFill="1" applyAlignment="1" applyProtection="1">
      <alignment horizontal="right" vertical="top"/>
      <protection locked="0"/>
    </xf>
    <xf numFmtId="2" fontId="21" fillId="0" borderId="0" xfId="11" applyNumberFormat="1" applyFill="1" applyAlignment="1" applyProtection="1">
      <alignment horizontal="right" vertical="top"/>
      <protection locked="0"/>
    </xf>
    <xf numFmtId="0" fontId="21" fillId="0" borderId="0" xfId="11"/>
    <xf numFmtId="1" fontId="22" fillId="0" borderId="0" xfId="11" applyNumberFormat="1" applyFont="1" applyFill="1" applyAlignment="1" applyProtection="1">
      <alignment horizontal="left" vertical="top"/>
      <protection locked="0"/>
    </xf>
    <xf numFmtId="0" fontId="22" fillId="0" borderId="0" xfId="11" applyFont="1" applyFill="1" applyAlignment="1" applyProtection="1">
      <alignment horizontal="left" vertical="top"/>
      <protection locked="0"/>
    </xf>
    <xf numFmtId="164" fontId="21" fillId="0" borderId="0" xfId="11" applyNumberFormat="1" applyFill="1" applyAlignment="1" applyProtection="1">
      <alignment horizontal="right" vertical="top"/>
      <protection locked="0"/>
    </xf>
    <xf numFmtId="1" fontId="21" fillId="0" borderId="0" xfId="11" applyNumberFormat="1" applyFill="1" applyAlignment="1" applyProtection="1">
      <alignment horizontal="right" vertical="top"/>
      <protection locked="0"/>
    </xf>
    <xf numFmtId="2" fontId="21" fillId="0" borderId="0" xfId="11" applyNumberFormat="1" applyFill="1" applyAlignment="1" applyProtection="1">
      <alignment horizontal="right" vertical="top"/>
      <protection locked="0"/>
    </xf>
    <xf numFmtId="167" fontId="21" fillId="0" borderId="0" xfId="11" applyNumberFormat="1" applyFill="1" applyAlignment="1" applyProtection="1">
      <alignment horizontal="right" vertical="top"/>
      <protection locked="0"/>
    </xf>
    <xf numFmtId="165" fontId="21" fillId="0" borderId="0" xfId="11" applyNumberFormat="1" applyFill="1" applyAlignment="1" applyProtection="1">
      <alignment horizontal="right" vertical="top"/>
      <protection locked="0"/>
    </xf>
    <xf numFmtId="166" fontId="21" fillId="0" borderId="0" xfId="11" applyNumberFormat="1" applyFill="1" applyAlignment="1" applyProtection="1">
      <alignment horizontal="right" vertical="top"/>
      <protection locked="0"/>
    </xf>
    <xf numFmtId="0" fontId="0" fillId="0" borderId="0" xfId="0" applyFill="1"/>
    <xf numFmtId="44" fontId="0" fillId="2" borderId="0" xfId="3" applyFont="1" applyFill="1"/>
  </cellXfs>
  <cellStyles count="12">
    <cellStyle name="Currency" xfId="3" builtinId="4"/>
    <cellStyle name="Normal" xfId="0" builtinId="0"/>
    <cellStyle name="Normal 10" xfId="10" xr:uid="{D0540EF5-0DBA-4362-9774-C7306318E440}"/>
    <cellStyle name="Normal 11" xfId="11" xr:uid="{482DB5FD-CAEE-45B6-A339-9A7EC5B12DE4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29"/>
    </sheetView>
  </sheetViews>
  <sheetFormatPr defaultRowHeight="15" x14ac:dyDescent="0.25"/>
  <cols>
    <col min="2" max="2" width="14.7109375" bestFit="1" customWidth="1"/>
  </cols>
  <sheetData>
    <row r="1" spans="1:7" x14ac:dyDescent="0.25">
      <c r="A1" s="70">
        <v>27</v>
      </c>
      <c r="B1" s="71" t="s">
        <v>11</v>
      </c>
      <c r="C1" s="69"/>
      <c r="D1" s="69"/>
      <c r="E1" s="69"/>
      <c r="F1" s="69"/>
      <c r="G1" s="72">
        <v>-519.1</v>
      </c>
    </row>
    <row r="2" spans="1:7" x14ac:dyDescent="0.25">
      <c r="A2" s="70">
        <v>28</v>
      </c>
      <c r="B2" s="71" t="s">
        <v>12</v>
      </c>
      <c r="C2" s="69"/>
      <c r="D2" s="69"/>
      <c r="E2" s="69"/>
      <c r="F2" s="73">
        <v>51</v>
      </c>
      <c r="G2" s="74">
        <v>5.0999999999999996</v>
      </c>
    </row>
    <row r="3" spans="1:7" x14ac:dyDescent="0.25">
      <c r="A3" s="70">
        <v>38</v>
      </c>
      <c r="B3" s="71" t="s">
        <v>55</v>
      </c>
      <c r="C3" s="69"/>
      <c r="D3" s="69"/>
      <c r="E3" s="69"/>
      <c r="F3" s="73">
        <v>53</v>
      </c>
      <c r="G3" s="74">
        <v>2.65</v>
      </c>
    </row>
    <row r="4" spans="1:7" x14ac:dyDescent="0.25">
      <c r="A4" s="70">
        <v>110</v>
      </c>
      <c r="B4" s="71" t="s">
        <v>22</v>
      </c>
      <c r="C4" s="69"/>
      <c r="D4" s="69"/>
      <c r="E4" s="69"/>
      <c r="F4" s="73">
        <v>2944</v>
      </c>
      <c r="G4" s="75">
        <v>14417.18</v>
      </c>
    </row>
    <row r="5" spans="1:7" x14ac:dyDescent="0.25">
      <c r="A5" s="70">
        <v>120</v>
      </c>
      <c r="B5" s="71" t="s">
        <v>23</v>
      </c>
      <c r="C5" s="69"/>
      <c r="D5" s="69"/>
      <c r="E5" s="69"/>
      <c r="F5" s="73">
        <v>2042</v>
      </c>
      <c r="G5" s="75">
        <v>10106.33</v>
      </c>
    </row>
    <row r="6" spans="1:7" x14ac:dyDescent="0.25">
      <c r="A6" s="70">
        <v>130</v>
      </c>
      <c r="B6" s="71" t="s">
        <v>24</v>
      </c>
      <c r="C6" s="69"/>
      <c r="D6" s="69"/>
      <c r="E6" s="69"/>
      <c r="F6" s="73">
        <v>523</v>
      </c>
      <c r="G6" s="77">
        <v>3458.54</v>
      </c>
    </row>
    <row r="7" spans="1:7" x14ac:dyDescent="0.25">
      <c r="A7" s="70">
        <v>140</v>
      </c>
      <c r="B7" s="71" t="s">
        <v>25</v>
      </c>
      <c r="C7" s="69"/>
      <c r="D7" s="69"/>
      <c r="E7" s="69"/>
      <c r="F7" s="73">
        <v>1280</v>
      </c>
      <c r="G7" s="77">
        <v>8722.1200000000008</v>
      </c>
    </row>
    <row r="8" spans="1:7" x14ac:dyDescent="0.25">
      <c r="A8" s="70">
        <v>142</v>
      </c>
      <c r="B8" s="71" t="s">
        <v>26</v>
      </c>
      <c r="C8" s="69"/>
      <c r="D8" s="69"/>
      <c r="E8" s="69"/>
      <c r="F8" s="73">
        <v>166</v>
      </c>
      <c r="G8" s="72">
        <v>834.91</v>
      </c>
    </row>
    <row r="9" spans="1:7" x14ac:dyDescent="0.25">
      <c r="A9" s="70">
        <v>150</v>
      </c>
      <c r="B9" s="71" t="s">
        <v>27</v>
      </c>
      <c r="C9" s="69"/>
      <c r="D9" s="69"/>
      <c r="E9" s="69"/>
      <c r="F9" s="73">
        <v>435</v>
      </c>
      <c r="G9" s="77">
        <v>2495.7600000000002</v>
      </c>
    </row>
    <row r="10" spans="1:7" x14ac:dyDescent="0.25">
      <c r="A10" s="70">
        <v>160</v>
      </c>
      <c r="B10" s="71" t="s">
        <v>28</v>
      </c>
      <c r="C10" s="69"/>
      <c r="D10" s="69"/>
      <c r="E10" s="69"/>
      <c r="F10" s="73">
        <v>96</v>
      </c>
      <c r="G10" s="77">
        <v>1017.75</v>
      </c>
    </row>
    <row r="11" spans="1:7" x14ac:dyDescent="0.25">
      <c r="A11" s="70">
        <v>180</v>
      </c>
      <c r="B11" s="71" t="s">
        <v>30</v>
      </c>
      <c r="C11" s="69"/>
      <c r="D11" s="69"/>
      <c r="E11" s="69"/>
      <c r="F11" s="73">
        <v>43</v>
      </c>
      <c r="G11" s="72">
        <v>187.47</v>
      </c>
    </row>
    <row r="12" spans="1:7" x14ac:dyDescent="0.25">
      <c r="A12" s="70">
        <v>190</v>
      </c>
      <c r="B12" s="71" t="s">
        <v>31</v>
      </c>
      <c r="C12" s="69"/>
      <c r="D12" s="69"/>
      <c r="E12" s="69"/>
      <c r="F12" s="73">
        <v>113</v>
      </c>
      <c r="G12" s="72">
        <v>831.46</v>
      </c>
    </row>
    <row r="13" spans="1:7" x14ac:dyDescent="0.25">
      <c r="A13" s="70">
        <v>210</v>
      </c>
      <c r="B13" s="71" t="s">
        <v>32</v>
      </c>
      <c r="C13" s="69"/>
      <c r="D13" s="69"/>
      <c r="E13" s="69"/>
      <c r="F13" s="73">
        <v>898</v>
      </c>
      <c r="G13" s="77">
        <v>7485.14</v>
      </c>
    </row>
    <row r="14" spans="1:7" x14ac:dyDescent="0.25">
      <c r="A14" s="70">
        <v>220</v>
      </c>
      <c r="B14" s="71" t="s">
        <v>33</v>
      </c>
      <c r="C14" s="69"/>
      <c r="D14" s="69"/>
      <c r="E14" s="69"/>
      <c r="F14" s="73">
        <v>639</v>
      </c>
      <c r="G14" s="77">
        <v>2392.0500000000002</v>
      </c>
    </row>
    <row r="15" spans="1:7" x14ac:dyDescent="0.25">
      <c r="A15" s="70">
        <v>230</v>
      </c>
      <c r="B15" s="71" t="s">
        <v>34</v>
      </c>
      <c r="C15" s="69"/>
      <c r="D15" s="69"/>
      <c r="E15" s="69"/>
      <c r="F15" s="73">
        <v>19</v>
      </c>
      <c r="G15" s="72">
        <v>602.91999999999996</v>
      </c>
    </row>
    <row r="16" spans="1:7" x14ac:dyDescent="0.25">
      <c r="A16" s="70">
        <v>235</v>
      </c>
      <c r="B16" s="71" t="s">
        <v>59</v>
      </c>
      <c r="C16" s="69"/>
      <c r="D16" s="69"/>
      <c r="E16" s="69"/>
      <c r="F16" s="73">
        <v>50</v>
      </c>
      <c r="G16" s="72">
        <v>693</v>
      </c>
    </row>
    <row r="17" spans="1:7" x14ac:dyDescent="0.25">
      <c r="A17" s="70">
        <v>240</v>
      </c>
      <c r="B17" s="71" t="s">
        <v>35</v>
      </c>
      <c r="C17" s="69"/>
      <c r="D17" s="69"/>
      <c r="E17" s="69"/>
      <c r="F17" s="73">
        <v>227</v>
      </c>
      <c r="G17" s="72">
        <v>940.39</v>
      </c>
    </row>
    <row r="18" spans="1:7" x14ac:dyDescent="0.25">
      <c r="A18" s="70">
        <v>250</v>
      </c>
      <c r="B18" s="71" t="s">
        <v>36</v>
      </c>
      <c r="C18" s="69"/>
      <c r="D18" s="69"/>
      <c r="E18" s="69"/>
      <c r="F18" s="73">
        <v>2</v>
      </c>
      <c r="G18" s="74">
        <v>6.58</v>
      </c>
    </row>
    <row r="19" spans="1:7" x14ac:dyDescent="0.25">
      <c r="A19" s="70">
        <v>310</v>
      </c>
      <c r="B19" s="71" t="s">
        <v>37</v>
      </c>
      <c r="C19" s="69"/>
      <c r="D19" s="69"/>
      <c r="E19" s="69"/>
      <c r="F19" s="73">
        <v>868</v>
      </c>
      <c r="G19" s="77">
        <v>5038.26</v>
      </c>
    </row>
    <row r="20" spans="1:7" x14ac:dyDescent="0.25">
      <c r="A20" s="70">
        <v>320</v>
      </c>
      <c r="B20" s="71" t="s">
        <v>38</v>
      </c>
      <c r="C20" s="69"/>
      <c r="D20" s="69"/>
      <c r="E20" s="69"/>
      <c r="F20" s="73">
        <v>734</v>
      </c>
      <c r="G20" s="77">
        <v>7911.01</v>
      </c>
    </row>
    <row r="21" spans="1:7" x14ac:dyDescent="0.25">
      <c r="A21" s="70">
        <v>330</v>
      </c>
      <c r="B21" s="71" t="s">
        <v>39</v>
      </c>
      <c r="C21" s="69"/>
      <c r="D21" s="69"/>
      <c r="E21" s="69"/>
      <c r="F21" s="73">
        <v>205</v>
      </c>
      <c r="G21" s="77">
        <v>1890.29</v>
      </c>
    </row>
    <row r="22" spans="1:7" x14ac:dyDescent="0.25">
      <c r="A22" s="70">
        <v>340</v>
      </c>
      <c r="B22" s="71" t="s">
        <v>40</v>
      </c>
      <c r="C22" s="69"/>
      <c r="D22" s="69"/>
      <c r="E22" s="69"/>
      <c r="F22" s="73">
        <v>157</v>
      </c>
      <c r="G22" s="77">
        <v>2326.08</v>
      </c>
    </row>
    <row r="23" spans="1:7" x14ac:dyDescent="0.25">
      <c r="A23" s="70">
        <v>350</v>
      </c>
      <c r="B23" s="71" t="s">
        <v>41</v>
      </c>
      <c r="C23" s="69"/>
      <c r="D23" s="69"/>
      <c r="E23" s="69"/>
      <c r="F23" s="73">
        <v>142</v>
      </c>
      <c r="G23" s="77">
        <v>1283.6300000000001</v>
      </c>
    </row>
    <row r="24" spans="1:7" x14ac:dyDescent="0.25">
      <c r="A24" s="70">
        <v>410</v>
      </c>
      <c r="B24" s="71" t="s">
        <v>42</v>
      </c>
      <c r="C24" s="69"/>
      <c r="D24" s="69"/>
      <c r="E24" s="69"/>
      <c r="F24" s="73">
        <v>4359</v>
      </c>
      <c r="G24" s="75">
        <v>15820.84</v>
      </c>
    </row>
    <row r="25" spans="1:7" x14ac:dyDescent="0.25">
      <c r="A25" s="70">
        <v>420</v>
      </c>
      <c r="B25" s="71" t="s">
        <v>43</v>
      </c>
      <c r="C25" s="69"/>
      <c r="D25" s="69"/>
      <c r="E25" s="69"/>
      <c r="F25" s="73">
        <v>288</v>
      </c>
      <c r="G25" s="77">
        <v>1719.53</v>
      </c>
    </row>
    <row r="26" spans="1:7" x14ac:dyDescent="0.25">
      <c r="A26" s="70">
        <v>510</v>
      </c>
      <c r="B26" s="71" t="s">
        <v>44</v>
      </c>
      <c r="C26" s="69"/>
      <c r="D26" s="69"/>
      <c r="E26" s="69"/>
      <c r="F26" s="73">
        <v>245</v>
      </c>
      <c r="G26" s="77">
        <v>2006.81</v>
      </c>
    </row>
    <row r="27" spans="1:7" x14ac:dyDescent="0.25">
      <c r="A27" s="70">
        <v>520</v>
      </c>
      <c r="B27" s="71" t="s">
        <v>45</v>
      </c>
      <c r="C27" s="69"/>
      <c r="D27" s="69"/>
      <c r="E27" s="69"/>
      <c r="F27" s="73">
        <v>314</v>
      </c>
      <c r="G27" s="77">
        <v>4793.84</v>
      </c>
    </row>
    <row r="28" spans="1:7" x14ac:dyDescent="0.25">
      <c r="A28" s="70">
        <v>550</v>
      </c>
      <c r="B28" s="71" t="s">
        <v>48</v>
      </c>
      <c r="C28" s="69"/>
      <c r="D28" s="69"/>
      <c r="E28" s="69"/>
      <c r="F28" s="73">
        <v>2</v>
      </c>
      <c r="G28" s="76">
        <v>27.99</v>
      </c>
    </row>
    <row r="29" spans="1:7" x14ac:dyDescent="0.25">
      <c r="A29" s="70">
        <v>1300</v>
      </c>
      <c r="B29" s="71" t="s">
        <v>51</v>
      </c>
      <c r="C29" s="69"/>
      <c r="D29" s="69"/>
      <c r="E29" s="69"/>
      <c r="F29" s="73">
        <v>15</v>
      </c>
      <c r="G29" s="76">
        <v>44.89</v>
      </c>
    </row>
    <row r="30" spans="1:7" x14ac:dyDescent="0.25">
      <c r="A30" s="50"/>
      <c r="B30" s="51"/>
      <c r="C30" s="49"/>
      <c r="D30" s="49"/>
      <c r="E30" s="49"/>
      <c r="F30" s="52"/>
      <c r="G30" s="54"/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sqref="A1:G14"/>
    </sheetView>
  </sheetViews>
  <sheetFormatPr defaultRowHeight="15" x14ac:dyDescent="0.25"/>
  <sheetData>
    <row r="1" spans="1:7" x14ac:dyDescent="0.25">
      <c r="A1" s="64">
        <v>110</v>
      </c>
      <c r="B1" s="65" t="s">
        <v>22</v>
      </c>
      <c r="C1" s="63"/>
      <c r="D1" s="63"/>
      <c r="E1" s="63"/>
      <c r="F1" s="66">
        <v>27</v>
      </c>
      <c r="G1" s="67">
        <v>16.05</v>
      </c>
    </row>
    <row r="2" spans="1:7" x14ac:dyDescent="0.25">
      <c r="A2" s="64">
        <v>120</v>
      </c>
      <c r="B2" s="65" t="s">
        <v>23</v>
      </c>
      <c r="C2" s="63"/>
      <c r="D2" s="63"/>
      <c r="E2" s="63"/>
      <c r="F2" s="66">
        <v>40</v>
      </c>
      <c r="G2" s="67">
        <v>23.45</v>
      </c>
    </row>
    <row r="3" spans="1:7" x14ac:dyDescent="0.25">
      <c r="A3" s="64">
        <v>130</v>
      </c>
      <c r="B3" s="65" t="s">
        <v>24</v>
      </c>
      <c r="C3" s="63"/>
      <c r="D3" s="63"/>
      <c r="E3" s="63"/>
      <c r="F3" s="66">
        <v>4</v>
      </c>
      <c r="G3" s="68">
        <v>3.94</v>
      </c>
    </row>
    <row r="4" spans="1:7" x14ac:dyDescent="0.25">
      <c r="A4" s="64">
        <v>140</v>
      </c>
      <c r="B4" s="65" t="s">
        <v>25</v>
      </c>
      <c r="C4" s="63"/>
      <c r="D4" s="63"/>
      <c r="E4" s="63"/>
      <c r="F4" s="68">
        <v>7.22</v>
      </c>
      <c r="G4" s="68">
        <v>0.88</v>
      </c>
    </row>
    <row r="5" spans="1:7" x14ac:dyDescent="0.25">
      <c r="A5" s="64">
        <v>142</v>
      </c>
      <c r="B5" s="65" t="s">
        <v>26</v>
      </c>
      <c r="C5" s="63"/>
      <c r="D5" s="63"/>
      <c r="E5" s="63"/>
      <c r="F5" s="66">
        <v>130</v>
      </c>
      <c r="G5" s="63"/>
    </row>
    <row r="6" spans="1:7" x14ac:dyDescent="0.25">
      <c r="A6" s="64">
        <v>150</v>
      </c>
      <c r="B6" s="65" t="s">
        <v>27</v>
      </c>
      <c r="C6" s="63"/>
      <c r="D6" s="63"/>
      <c r="E6" s="63"/>
      <c r="F6" s="66">
        <v>39</v>
      </c>
      <c r="G6" s="67">
        <v>13.59</v>
      </c>
    </row>
    <row r="7" spans="1:7" x14ac:dyDescent="0.25">
      <c r="A7" s="64">
        <v>160</v>
      </c>
      <c r="B7" s="65" t="s">
        <v>28</v>
      </c>
      <c r="C7" s="63"/>
      <c r="D7" s="63"/>
      <c r="E7" s="63"/>
      <c r="F7" s="66">
        <v>2</v>
      </c>
      <c r="G7" s="68">
        <v>2.39</v>
      </c>
    </row>
    <row r="8" spans="1:7" x14ac:dyDescent="0.25">
      <c r="A8" s="64">
        <v>210</v>
      </c>
      <c r="B8" s="65" t="s">
        <v>32</v>
      </c>
      <c r="C8" s="63"/>
      <c r="D8" s="63"/>
      <c r="E8" s="63"/>
      <c r="F8" s="66">
        <v>21</v>
      </c>
      <c r="G8" s="63"/>
    </row>
    <row r="9" spans="1:7" x14ac:dyDescent="0.25">
      <c r="A9" s="64">
        <v>220</v>
      </c>
      <c r="B9" s="65" t="s">
        <v>33</v>
      </c>
      <c r="C9" s="63"/>
      <c r="D9" s="63"/>
      <c r="E9" s="63"/>
      <c r="F9" s="66">
        <v>1</v>
      </c>
      <c r="G9" s="68">
        <v>0.55000000000000004</v>
      </c>
    </row>
    <row r="10" spans="1:7" x14ac:dyDescent="0.25">
      <c r="A10" s="64">
        <v>310</v>
      </c>
      <c r="B10" s="65" t="s">
        <v>37</v>
      </c>
      <c r="C10" s="63"/>
      <c r="D10" s="63"/>
      <c r="E10" s="63"/>
      <c r="F10" s="66">
        <v>8</v>
      </c>
      <c r="G10" s="68">
        <v>7.83</v>
      </c>
    </row>
    <row r="11" spans="1:7" x14ac:dyDescent="0.25">
      <c r="A11" s="64">
        <v>330</v>
      </c>
      <c r="B11" s="65" t="s">
        <v>39</v>
      </c>
      <c r="C11" s="63"/>
      <c r="D11" s="63"/>
      <c r="E11" s="63"/>
      <c r="F11" s="66">
        <v>5</v>
      </c>
      <c r="G11" s="68">
        <v>6.87</v>
      </c>
    </row>
    <row r="12" spans="1:7" x14ac:dyDescent="0.25">
      <c r="A12" s="64">
        <v>350</v>
      </c>
      <c r="B12" s="65" t="s">
        <v>41</v>
      </c>
      <c r="C12" s="63"/>
      <c r="D12" s="63"/>
      <c r="E12" s="63"/>
      <c r="F12" s="66">
        <v>1</v>
      </c>
      <c r="G12" s="68">
        <v>1.25</v>
      </c>
    </row>
    <row r="13" spans="1:7" x14ac:dyDescent="0.25">
      <c r="A13" s="64">
        <v>410</v>
      </c>
      <c r="B13" s="65" t="s">
        <v>42</v>
      </c>
      <c r="C13" s="63"/>
      <c r="D13" s="63"/>
      <c r="E13" s="63"/>
      <c r="F13" s="66">
        <v>4</v>
      </c>
      <c r="G13" s="68">
        <v>1.4</v>
      </c>
    </row>
    <row r="14" spans="1:7" x14ac:dyDescent="0.25">
      <c r="A14" s="64">
        <v>510</v>
      </c>
      <c r="B14" s="65" t="s">
        <v>44</v>
      </c>
      <c r="C14" s="63"/>
      <c r="D14" s="63"/>
      <c r="E14" s="63"/>
      <c r="F14" s="66">
        <v>2</v>
      </c>
      <c r="G14" s="68">
        <v>0.87</v>
      </c>
    </row>
    <row r="15" spans="1:7" x14ac:dyDescent="0.25">
      <c r="A15" s="57"/>
      <c r="B15" s="58"/>
      <c r="C15" s="56"/>
      <c r="D15" s="56"/>
      <c r="E15" s="56"/>
      <c r="F15" s="59"/>
      <c r="G15" s="60"/>
    </row>
    <row r="16" spans="1:7" x14ac:dyDescent="0.25">
      <c r="A16" s="50"/>
      <c r="B16" s="51"/>
      <c r="C16" s="49"/>
      <c r="D16" s="49"/>
      <c r="E16" s="49"/>
      <c r="F16" s="52"/>
      <c r="G16" s="53"/>
    </row>
    <row r="17" spans="1:7" x14ac:dyDescent="0.25">
      <c r="A17" s="50"/>
      <c r="B17" s="51"/>
      <c r="C17" s="49"/>
      <c r="D17" s="49"/>
      <c r="E17" s="49"/>
      <c r="F17" s="52"/>
      <c r="G17" s="53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61"/>
      <c r="B9" s="61"/>
      <c r="C9" s="61"/>
      <c r="D9" s="61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61"/>
      <c r="B12" s="61"/>
      <c r="C12" s="61"/>
      <c r="D12" s="61"/>
      <c r="E12" s="61"/>
      <c r="F12" s="61"/>
      <c r="G12" s="61"/>
      <c r="H12" s="61"/>
    </row>
    <row r="13" spans="1:8" ht="15" customHeight="1" x14ac:dyDescent="0.25">
      <c r="A13" s="61"/>
      <c r="B13" s="61"/>
      <c r="C13" s="61"/>
      <c r="D13" s="61"/>
      <c r="E13" s="61"/>
      <c r="F13" s="22"/>
      <c r="G13" s="25"/>
    </row>
    <row r="14" spans="1:8" x14ac:dyDescent="0.25">
      <c r="A14" s="22"/>
    </row>
    <row r="15" spans="1:8" x14ac:dyDescent="0.25">
      <c r="A15" s="61"/>
      <c r="B15" s="61"/>
      <c r="C15" s="61"/>
      <c r="D15" s="61"/>
      <c r="E15" s="61"/>
      <c r="F15" s="61"/>
      <c r="G15" s="61"/>
      <c r="H15" s="61"/>
    </row>
    <row r="16" spans="1:8" ht="15" customHeight="1" x14ac:dyDescent="0.25">
      <c r="A16" s="61"/>
      <c r="B16" s="61"/>
      <c r="C16" s="61"/>
      <c r="D16" s="61"/>
      <c r="E16" s="61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61"/>
      <c r="B544" s="61"/>
      <c r="C544" s="61"/>
      <c r="D544" s="61"/>
      <c r="E544" s="61"/>
      <c r="F544" s="61"/>
      <c r="G544" s="61"/>
      <c r="H544" s="61"/>
    </row>
    <row r="545" spans="1:8" ht="15" customHeight="1" x14ac:dyDescent="0.25">
      <c r="A545" s="61"/>
      <c r="B545" s="61"/>
      <c r="C545" s="61"/>
      <c r="D545" s="61"/>
      <c r="E545" s="61"/>
      <c r="F545" s="22"/>
      <c r="G545" s="25"/>
    </row>
    <row r="546" spans="1:8" x14ac:dyDescent="0.25">
      <c r="A546" s="22"/>
    </row>
    <row r="547" spans="1:8" x14ac:dyDescent="0.25">
      <c r="A547" s="61"/>
      <c r="B547" s="61"/>
      <c r="C547" s="61"/>
      <c r="D547" s="61"/>
      <c r="E547" s="61"/>
      <c r="F547" s="61"/>
      <c r="G547" s="61"/>
      <c r="H547" s="61"/>
    </row>
    <row r="548" spans="1:8" ht="15" customHeight="1" x14ac:dyDescent="0.25">
      <c r="A548" s="61"/>
      <c r="B548" s="61"/>
      <c r="C548" s="61"/>
      <c r="D548" s="61"/>
      <c r="E548" s="61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61"/>
      <c r="B729" s="61"/>
      <c r="C729" s="61"/>
      <c r="D729" s="61"/>
      <c r="E729" s="61"/>
      <c r="F729" s="61"/>
      <c r="G729" s="61"/>
      <c r="H729" s="61"/>
    </row>
    <row r="730" spans="1:8" ht="15" customHeight="1" x14ac:dyDescent="0.25">
      <c r="A730" s="61"/>
      <c r="B730" s="61"/>
      <c r="C730" s="61"/>
      <c r="D730" s="61"/>
      <c r="E730" s="61"/>
      <c r="F730" s="22"/>
      <c r="G730" s="25"/>
    </row>
    <row r="731" spans="1:8" x14ac:dyDescent="0.25">
      <c r="A731" s="22"/>
    </row>
    <row r="732" spans="1:8" x14ac:dyDescent="0.25">
      <c r="A732" s="61"/>
      <c r="B732" s="61"/>
      <c r="C732" s="61"/>
      <c r="D732" s="61"/>
      <c r="E732" s="61"/>
      <c r="F732" s="61"/>
      <c r="G732" s="61"/>
      <c r="H732" s="61"/>
    </row>
    <row r="733" spans="1:8" ht="15" customHeight="1" x14ac:dyDescent="0.25">
      <c r="A733" s="61"/>
      <c r="B733" s="61"/>
      <c r="C733" s="61"/>
      <c r="D733" s="61"/>
      <c r="E733" s="61"/>
      <c r="F733" s="22"/>
      <c r="G733" s="25"/>
      <c r="H733" s="22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I26" sqref="I26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2" t="s">
        <v>0</v>
      </c>
      <c r="B1" s="62"/>
      <c r="C1" s="62"/>
      <c r="D1" s="62"/>
      <c r="E1" s="62"/>
      <c r="F1" s="62"/>
      <c r="G1" s="62"/>
      <c r="I1" s="17" t="s">
        <v>54</v>
      </c>
      <c r="J1" s="18">
        <f>G10</f>
        <v>-519.1</v>
      </c>
      <c r="L1" s="39" t="s">
        <v>88</v>
      </c>
      <c r="M1" s="40">
        <f>24+40+6+24</f>
        <v>94</v>
      </c>
      <c r="O1" s="45" t="s">
        <v>7</v>
      </c>
      <c r="P1" s="46"/>
    </row>
    <row r="2" spans="1:16" ht="18.75" x14ac:dyDescent="0.4">
      <c r="A2" s="62"/>
      <c r="B2" s="62"/>
      <c r="C2" s="62"/>
      <c r="D2" s="62"/>
      <c r="E2" s="62"/>
      <c r="F2" s="62"/>
      <c r="G2" s="62"/>
      <c r="I2" s="13" t="s">
        <v>60</v>
      </c>
      <c r="J2" s="14">
        <f>D54*-1</f>
        <v>-79.070000000000007</v>
      </c>
      <c r="L2" s="41" t="s">
        <v>61</v>
      </c>
      <c r="M2" s="39">
        <f>J1+M1</f>
        <v>-425.1</v>
      </c>
      <c r="O2" s="45" t="s">
        <v>91</v>
      </c>
      <c r="P2" s="46"/>
    </row>
    <row r="3" spans="1:16" ht="18.75" x14ac:dyDescent="0.4">
      <c r="A3" s="62"/>
      <c r="B3" s="62"/>
      <c r="C3" s="62"/>
      <c r="D3" s="62"/>
      <c r="E3" s="62"/>
      <c r="F3" s="62"/>
      <c r="G3" s="62"/>
      <c r="I3" s="15" t="s">
        <v>53</v>
      </c>
      <c r="J3" s="16">
        <f>G54+J1+J2</f>
        <v>96543.42</v>
      </c>
      <c r="O3" s="45" t="s">
        <v>89</v>
      </c>
      <c r="P3" s="55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7" t="s">
        <v>90</v>
      </c>
      <c r="P4" s="48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3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2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-519.1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37">
        <f>C10+D10</f>
        <v>-519.1</v>
      </c>
      <c r="J10" s="43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5.0999999999999996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37">
        <f t="shared" si="0"/>
        <v>5.0999999999999996</v>
      </c>
      <c r="J11" s="44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2.65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37">
        <f t="shared" si="0"/>
        <v>2.65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14417.18</v>
      </c>
      <c r="D22" s="3">
        <f>IFERROR(INDEX('SubDept Coupon (Local Discount)'!G$1:G$100,MATCH('SubDept Sales Report'!A22,'SubDept Coupon (Local Discount)'!A$1:A$100,0)),0)</f>
        <v>16.05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37">
        <f t="shared" si="0"/>
        <v>14433.23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10106.33</v>
      </c>
      <c r="D23" s="3">
        <f>IFERROR(INDEX('SubDept Coupon (Local Discount)'!G$1:G$100,MATCH('SubDept Sales Report'!A23,'SubDept Coupon (Local Discount)'!A$1:A$100,0)),0)</f>
        <v>23.45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37">
        <f t="shared" si="0"/>
        <v>10129.780000000001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3458.54</v>
      </c>
      <c r="D24" s="3">
        <f>IFERROR(INDEX('SubDept Coupon (Local Discount)'!G$1:G$100,MATCH('SubDept Sales Report'!A24,'SubDept Coupon (Local Discount)'!A$1:A$100,0)),0)</f>
        <v>3.94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37">
        <f t="shared" si="0"/>
        <v>3462.48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8722.1200000000008</v>
      </c>
      <c r="D25" s="3">
        <f>IFERROR(INDEX('SubDept Coupon (Local Discount)'!G$1:G$100,MATCH('SubDept Sales Report'!A25,'SubDept Coupon (Local Discount)'!A$1:A$100,0)),0)</f>
        <v>0.88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37">
        <f t="shared" si="0"/>
        <v>8723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834.91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37">
        <f t="shared" si="0"/>
        <v>834.91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2495.7600000000002</v>
      </c>
      <c r="D27" s="3">
        <f>IFERROR(INDEX('SubDept Coupon (Local Discount)'!G$1:G$100,MATCH('SubDept Sales Report'!A27,'SubDept Coupon (Local Discount)'!A$1:A$100,0)),0)</f>
        <v>13.59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37">
        <f t="shared" si="0"/>
        <v>2509.3500000000004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1017.75</v>
      </c>
      <c r="D28" s="3">
        <f>IFERROR(INDEX('SubDept Coupon (Local Discount)'!G$1:G$100,MATCH('SubDept Sales Report'!A28,'SubDept Coupon (Local Discount)'!A$1:A$100,0)),0)</f>
        <v>2.39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37">
        <f t="shared" si="0"/>
        <v>1020.14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187.47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37">
        <f t="shared" si="0"/>
        <v>187.47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831.46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37">
        <f t="shared" si="0"/>
        <v>831.46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7485.14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37">
        <f t="shared" si="0"/>
        <v>7485.14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2392.0500000000002</v>
      </c>
      <c r="D33" s="3">
        <f>IFERROR(INDEX('SubDept Coupon (Local Discount)'!G$1:G$100,MATCH('SubDept Sales Report'!A33,'SubDept Coupon (Local Discount)'!A$1:A$100,0)),0)</f>
        <v>0.55000000000000004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37">
        <f t="shared" si="0"/>
        <v>2392.6000000000004</v>
      </c>
      <c r="K33" s="3"/>
    </row>
    <row r="34" spans="1:1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602.91999999999996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7">
        <f>C34+D34</f>
        <v>602.91999999999996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693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37">
        <f t="shared" si="0"/>
        <v>693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940.39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37">
        <f t="shared" si="0"/>
        <v>940.39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6.58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79">
        <f t="shared" si="0"/>
        <v>6.58</v>
      </c>
      <c r="H37">
        <v>7210110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5038.26</v>
      </c>
      <c r="D39" s="3">
        <f>IFERROR(INDEX('SubDept Coupon (Local Discount)'!G$1:G$100,MATCH('SubDept Sales Report'!A39,'SubDept Coupon (Local Discount)'!A$1:A$100,0)),0)</f>
        <v>7.83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37">
        <f t="shared" si="0"/>
        <v>5046.09</v>
      </c>
      <c r="H39" s="78"/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7911.01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37">
        <f t="shared" si="0"/>
        <v>7911.01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1890.29</v>
      </c>
      <c r="D41" s="3">
        <f>IFERROR(INDEX('SubDept Coupon (Local Discount)'!G$1:G$100,MATCH('SubDept Sales Report'!A41,'SubDept Coupon (Local Discount)'!A$1:A$100,0)),0)</f>
        <v>6.87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37">
        <f t="shared" si="0"/>
        <v>1897.1599999999999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2326.08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37">
        <f t="shared" si="0"/>
        <v>2326.08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1283.6300000000001</v>
      </c>
      <c r="D43" s="3">
        <f>IFERROR(INDEX('SubDept Coupon (Local Discount)'!G$1:G$100,MATCH('SubDept Sales Report'!A43,'SubDept Coupon (Local Discount)'!A$1:A$100,0)),0)</f>
        <v>1.25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37">
        <f t="shared" si="0"/>
        <v>1284.8800000000001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15820.84</v>
      </c>
      <c r="D44" s="3">
        <f>IFERROR(INDEX('SubDept Coupon (Local Discount)'!G$1:G$100,MATCH('SubDept Sales Report'!A44,'SubDept Coupon (Local Discount)'!A$1:A$100,0)),0)</f>
        <v>1.4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37">
        <f t="shared" si="0"/>
        <v>15822.24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1719.53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37">
        <f t="shared" si="0"/>
        <v>1719.53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2006.81</v>
      </c>
      <c r="D46" s="3">
        <f>IFERROR(INDEX('SubDept Coupon (Local Discount)'!G$1:G$100,MATCH('SubDept Sales Report'!A46,'SubDept Coupon (Local Discount)'!A$1:A$100,0)),0)</f>
        <v>0.87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37">
        <f t="shared" si="0"/>
        <v>2007.6799999999998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4793.84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37">
        <f t="shared" si="0"/>
        <v>4793.84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27.99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37">
        <f t="shared" si="0"/>
        <v>27.99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44.89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37">
        <f t="shared" si="0"/>
        <v>44.89</v>
      </c>
      <c r="I53" s="12"/>
      <c r="J53" s="3"/>
      <c r="K53" s="3"/>
    </row>
    <row r="54" spans="1:11" x14ac:dyDescent="0.25">
      <c r="B54" s="19" t="s">
        <v>52</v>
      </c>
      <c r="C54" s="3">
        <f>SUM(C5:C53)</f>
        <v>96543.42</v>
      </c>
      <c r="D54" s="11">
        <f>SUM(D5:D53)</f>
        <v>79.070000000000007</v>
      </c>
      <c r="E54" s="11">
        <f>SUM(E5:E53)</f>
        <v>0</v>
      </c>
      <c r="F54" s="11">
        <f>SUM(F5:F53)</f>
        <v>0</v>
      </c>
      <c r="G54" s="38">
        <f>SUM(G11:G53,G9,G8,G7,G6,G5)</f>
        <v>97141.590000000011</v>
      </c>
      <c r="I54" s="12"/>
      <c r="J54" s="3"/>
      <c r="K54" s="3"/>
    </row>
  </sheetData>
  <autoFilter ref="A4:G54" xr:uid="{459199FD-0CD3-4C93-B98C-3BA614742282}">
    <filterColumn colId="6">
      <filters>
        <filter val="$(519.10)"/>
        <filter val="$1,020.14"/>
        <filter val="$1,284.88"/>
        <filter val="$1,719.53"/>
        <filter val="$1,897.16"/>
        <filter val="$10,129.78"/>
        <filter val="$14,433.23"/>
        <filter val="$15,822.24"/>
        <filter val="$187.47"/>
        <filter val="$2,007.68"/>
        <filter val="$2,326.08"/>
        <filter val="$2,392.60"/>
        <filter val="$2,509.35"/>
        <filter val="$2.65"/>
        <filter val="$27.99"/>
        <filter val="$3,462.48"/>
        <filter val="$4,793.84"/>
        <filter val="$44.89"/>
        <filter val="$5,046.09"/>
        <filter val="$5.10"/>
        <filter val="$6.58"/>
        <filter val="$602.92"/>
        <filter val="$693.00"/>
        <filter val="$7,485.14"/>
        <filter val="$7,911.01"/>
        <filter val="$8,723.00"/>
        <filter val="$831.46"/>
        <filter val="$834.91"/>
        <filter val="$940.39"/>
        <filter val="$97,141.59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Karl Cruz</cp:lastModifiedBy>
  <cp:lastPrinted>2025-01-20T20:49:57Z</cp:lastPrinted>
  <dcterms:created xsi:type="dcterms:W3CDTF">2019-02-06T18:14:04Z</dcterms:created>
  <dcterms:modified xsi:type="dcterms:W3CDTF">2026-07-27T13:13:38Z</dcterms:modified>
</cp:coreProperties>
</file>