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0A5B0A94-78F6-4E6C-A2BA-6954D13CFEF1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<sst xmlns="http://schemas.openxmlformats.org/spreadsheetml/2006/main" count="139" uniqueCount="92">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</sst>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0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0" fontId="0" fillId="0" borderId="2" xfId="3" applyNumberFormat="1" applyFont="1" applyBorder="1"/>
    <xf numFmtId="44" fontId="0" fillId="2" borderId="0" xfId="3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CC3AC3EA-8C9A-4A56-BEBA-8556639957FA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8">
        <v>27</v>
      </c>
      <c r="B1" s="59" t="s">
        <v>11</v>
      </c>
      <c r="C1" s="57"/>
      <c r="D1" s="57"/>
      <c r="E1" s="57"/>
      <c r="F1" s="57"/>
      <c r="G1" s="60">
        <v>-461</v>
      </c>
    </row>
    <row r="2" spans="1:7" x14ac:dyDescent="0.25">
      <c r="A2" s="58">
        <v>28</v>
      </c>
      <c r="B2" s="59" t="s">
        <v>12</v>
      </c>
      <c r="C2" s="57"/>
      <c r="D2" s="57"/>
      <c r="E2" s="57"/>
      <c r="F2" s="61">
        <v>52</v>
      </c>
      <c r="G2" s="62">
        <v>5.2</v>
      </c>
    </row>
    <row r="3" spans="1:7" x14ac:dyDescent="0.25">
      <c r="A3" s="58">
        <v>38</v>
      </c>
      <c r="B3" s="59" t="s">
        <v>55</v>
      </c>
      <c r="C3" s="57"/>
      <c r="D3" s="57"/>
      <c r="E3" s="57"/>
      <c r="F3" s="61">
        <v>61</v>
      </c>
      <c r="G3" s="62">
        <v>3.05</v>
      </c>
    </row>
    <row r="4" spans="1:7" x14ac:dyDescent="0.25">
      <c r="A4" s="58">
        <v>110</v>
      </c>
      <c r="B4" s="59" t="s">
        <v>22</v>
      </c>
      <c r="C4" s="57"/>
      <c r="D4" s="57"/>
      <c r="E4" s="57"/>
      <c r="F4" s="61">
        <v>3405</v>
      </c>
      <c r="G4" s="63">
        <v>15511.31</v>
      </c>
    </row>
    <row r="5" spans="1:7" x14ac:dyDescent="0.25">
      <c r="A5" s="58">
        <v>120</v>
      </c>
      <c r="B5" s="59" t="s">
        <v>23</v>
      </c>
      <c r="C5" s="57"/>
      <c r="D5" s="57"/>
      <c r="E5" s="57"/>
      <c r="F5" s="61">
        <v>2189</v>
      </c>
      <c r="G5" s="63">
        <v>11407.64</v>
      </c>
    </row>
    <row r="6" spans="1:7" x14ac:dyDescent="0.25">
      <c r="A6" s="58">
        <v>130</v>
      </c>
      <c r="B6" s="59" t="s">
        <v>24</v>
      </c>
      <c r="C6" s="57"/>
      <c r="D6" s="57"/>
      <c r="E6" s="57"/>
      <c r="F6" s="61">
        <v>629</v>
      </c>
      <c r="G6" s="65">
        <v>4388.49</v>
      </c>
    </row>
    <row r="7" spans="1:7" x14ac:dyDescent="0.25">
      <c r="A7" s="58">
        <v>140</v>
      </c>
      <c r="B7" s="59" t="s">
        <v>25</v>
      </c>
      <c r="C7" s="57"/>
      <c r="D7" s="57"/>
      <c r="E7" s="57"/>
      <c r="F7" s="61">
        <v>1640</v>
      </c>
      <c r="G7" s="63">
        <v>11845.21</v>
      </c>
    </row>
    <row r="8" spans="1:7" x14ac:dyDescent="0.25">
      <c r="A8" s="58">
        <v>142</v>
      </c>
      <c r="B8" s="59" t="s">
        <v>26</v>
      </c>
      <c r="C8" s="57"/>
      <c r="D8" s="57"/>
      <c r="E8" s="57"/>
      <c r="F8" s="61">
        <v>210</v>
      </c>
      <c r="G8" s="65">
        <v>1074.69</v>
      </c>
    </row>
    <row r="9" spans="1:7" x14ac:dyDescent="0.25">
      <c r="A9" s="58">
        <v>150</v>
      </c>
      <c r="B9" s="59" t="s">
        <v>27</v>
      </c>
      <c r="C9" s="57"/>
      <c r="D9" s="57"/>
      <c r="E9" s="57"/>
      <c r="F9" s="61">
        <v>431</v>
      </c>
      <c r="G9" s="65">
        <v>2531.65</v>
      </c>
    </row>
    <row r="10" spans="1:7" x14ac:dyDescent="0.25">
      <c r="A10" s="58">
        <v>160</v>
      </c>
      <c r="B10" s="59" t="s">
        <v>28</v>
      </c>
      <c r="C10" s="57"/>
      <c r="D10" s="57"/>
      <c r="E10" s="57"/>
      <c r="F10" s="61">
        <v>74</v>
      </c>
      <c r="G10" s="60">
        <v>792.13</v>
      </c>
    </row>
    <row r="11" spans="1:7" x14ac:dyDescent="0.25">
      <c r="A11" s="58">
        <v>180</v>
      </c>
      <c r="B11" s="59" t="s">
        <v>30</v>
      </c>
      <c r="C11" s="57"/>
      <c r="D11" s="57"/>
      <c r="E11" s="57"/>
      <c r="F11" s="61">
        <v>35</v>
      </c>
      <c r="G11" s="60">
        <v>165.67</v>
      </c>
    </row>
    <row r="12" spans="1:7" x14ac:dyDescent="0.25">
      <c r="A12" s="58">
        <v>190</v>
      </c>
      <c r="B12" s="59" t="s">
        <v>31</v>
      </c>
      <c r="C12" s="57"/>
      <c r="D12" s="57"/>
      <c r="E12" s="57"/>
      <c r="F12" s="61">
        <v>142</v>
      </c>
      <c r="G12" s="60">
        <v>982.35</v>
      </c>
    </row>
    <row r="13" spans="1:7" x14ac:dyDescent="0.25">
      <c r="A13" s="58">
        <v>210</v>
      </c>
      <c r="B13" s="59" t="s">
        <v>32</v>
      </c>
      <c r="C13" s="57"/>
      <c r="D13" s="57"/>
      <c r="E13" s="57"/>
      <c r="F13" s="61">
        <v>1210</v>
      </c>
      <c r="G13" s="63">
        <v>10673.96</v>
      </c>
    </row>
    <row r="14" spans="1:7" x14ac:dyDescent="0.25">
      <c r="A14" s="58">
        <v>220</v>
      </c>
      <c r="B14" s="59" t="s">
        <v>33</v>
      </c>
      <c r="C14" s="57"/>
      <c r="D14" s="57"/>
      <c r="E14" s="57"/>
      <c r="F14" s="61">
        <v>813</v>
      </c>
      <c r="G14" s="65">
        <v>2970.53</v>
      </c>
    </row>
    <row r="15" spans="1:7" x14ac:dyDescent="0.25">
      <c r="A15" s="58">
        <v>235</v>
      </c>
      <c r="B15" s="59" t="s">
        <v>59</v>
      </c>
      <c r="C15" s="57"/>
      <c r="D15" s="57"/>
      <c r="E15" s="57"/>
      <c r="F15" s="61">
        <v>67</v>
      </c>
      <c r="G15" s="60">
        <v>781.33</v>
      </c>
    </row>
    <row r="16" spans="1:7" x14ac:dyDescent="0.25">
      <c r="A16" s="58">
        <v>240</v>
      </c>
      <c r="B16" s="59" t="s">
        <v>35</v>
      </c>
      <c r="C16" s="57"/>
      <c r="D16" s="57"/>
      <c r="E16" s="57"/>
      <c r="F16" s="61">
        <v>229</v>
      </c>
      <c r="G16" s="60">
        <v>718.38</v>
      </c>
    </row>
    <row r="17" spans="1:7" x14ac:dyDescent="0.25">
      <c r="A17" s="58">
        <v>250</v>
      </c>
      <c r="B17" s="59" t="s">
        <v>36</v>
      </c>
      <c r="C17" s="57"/>
      <c r="D17" s="57"/>
      <c r="E17" s="57"/>
      <c r="F17" s="61">
        <v>160</v>
      </c>
      <c r="G17" s="60">
        <v>958.1</v>
      </c>
    </row>
    <row r="18" spans="1:7" x14ac:dyDescent="0.25">
      <c r="A18" s="58">
        <v>310</v>
      </c>
      <c r="B18" s="59" t="s">
        <v>37</v>
      </c>
      <c r="C18" s="57"/>
      <c r="D18" s="57"/>
      <c r="E18" s="57"/>
      <c r="F18" s="61">
        <v>895</v>
      </c>
      <c r="G18" s="65">
        <v>5341.79</v>
      </c>
    </row>
    <row r="19" spans="1:7" x14ac:dyDescent="0.25">
      <c r="A19" s="58">
        <v>320</v>
      </c>
      <c r="B19" s="59" t="s">
        <v>38</v>
      </c>
      <c r="C19" s="57"/>
      <c r="D19" s="57"/>
      <c r="E19" s="57"/>
      <c r="F19" s="61">
        <v>704</v>
      </c>
      <c r="G19" s="65">
        <v>6890.31</v>
      </c>
    </row>
    <row r="20" spans="1:7" x14ac:dyDescent="0.25">
      <c r="A20" s="58">
        <v>330</v>
      </c>
      <c r="B20" s="59" t="s">
        <v>39</v>
      </c>
      <c r="C20" s="57"/>
      <c r="D20" s="57"/>
      <c r="E20" s="57"/>
      <c r="F20" s="61">
        <v>201</v>
      </c>
      <c r="G20" s="65">
        <v>1631.6</v>
      </c>
    </row>
    <row r="21" spans="1:7" x14ac:dyDescent="0.25">
      <c r="A21" s="58">
        <v>340</v>
      </c>
      <c r="B21" s="59" t="s">
        <v>40</v>
      </c>
      <c r="C21" s="57"/>
      <c r="D21" s="57"/>
      <c r="E21" s="57"/>
      <c r="F21" s="61">
        <v>176</v>
      </c>
      <c r="G21" s="65">
        <v>2291.66</v>
      </c>
    </row>
    <row r="22" spans="1:7" x14ac:dyDescent="0.25">
      <c r="A22" s="58">
        <v>350</v>
      </c>
      <c r="B22" s="59" t="s">
        <v>41</v>
      </c>
      <c r="C22" s="57"/>
      <c r="D22" s="57"/>
      <c r="E22" s="57"/>
      <c r="F22" s="61">
        <v>137</v>
      </c>
      <c r="G22" s="65">
        <v>1353.73</v>
      </c>
    </row>
    <row r="23" spans="1:7" x14ac:dyDescent="0.25">
      <c r="A23" s="58">
        <v>410</v>
      </c>
      <c r="B23" s="59" t="s">
        <v>42</v>
      </c>
      <c r="C23" s="57"/>
      <c r="D23" s="57"/>
      <c r="E23" s="57"/>
      <c r="F23" s="61">
        <v>4235</v>
      </c>
      <c r="G23" s="63">
        <v>15404.21</v>
      </c>
    </row>
    <row r="24" spans="1:7" x14ac:dyDescent="0.25">
      <c r="A24" s="58">
        <v>420</v>
      </c>
      <c r="B24" s="59" t="s">
        <v>43</v>
      </c>
      <c r="C24" s="57"/>
      <c r="D24" s="57"/>
      <c r="E24" s="57"/>
      <c r="F24" s="61">
        <v>350</v>
      </c>
      <c r="G24" s="65">
        <v>2655.52</v>
      </c>
    </row>
    <row r="25" spans="1:7" x14ac:dyDescent="0.25">
      <c r="A25" s="58">
        <v>510</v>
      </c>
      <c r="B25" s="59" t="s">
        <v>44</v>
      </c>
      <c r="C25" s="57"/>
      <c r="D25" s="57"/>
      <c r="E25" s="57"/>
      <c r="F25" s="61">
        <v>326</v>
      </c>
      <c r="G25" s="65">
        <v>2594.09</v>
      </c>
    </row>
    <row r="26" spans="1:7" x14ac:dyDescent="0.25">
      <c r="A26" s="58">
        <v>520</v>
      </c>
      <c r="B26" s="59" t="s">
        <v>45</v>
      </c>
      <c r="C26" s="57"/>
      <c r="D26" s="57"/>
      <c r="E26" s="57"/>
      <c r="F26" s="61">
        <v>406</v>
      </c>
      <c r="G26" s="65">
        <v>6054.94</v>
      </c>
    </row>
    <row r="27" spans="1:7" x14ac:dyDescent="0.25">
      <c r="A27" s="58">
        <v>550</v>
      </c>
      <c r="B27" s="59" t="s">
        <v>48</v>
      </c>
      <c r="C27" s="57"/>
      <c r="D27" s="57"/>
      <c r="E27" s="57"/>
      <c r="F27" s="61">
        <v>2</v>
      </c>
      <c r="G27" s="64">
        <v>28.99</v>
      </c>
    </row>
    <row r="28" spans="1:7" x14ac:dyDescent="0.25">
      <c r="A28" s="58">
        <v>999</v>
      </c>
      <c r="B28" s="59" t="s">
        <v>50</v>
      </c>
      <c r="C28" s="57"/>
      <c r="D28" s="57"/>
      <c r="E28" s="57"/>
      <c r="F28" s="57"/>
      <c r="G28" s="64">
        <v>-15</v>
      </c>
    </row>
    <row r="29" spans="1:7" x14ac:dyDescent="0.25">
      <c r="A29" s="58">
        <v>1300</v>
      </c>
      <c r="B29" s="59" t="s">
        <v>51</v>
      </c>
      <c r="C29" s="57"/>
      <c r="D29" s="57"/>
      <c r="E29" s="57"/>
      <c r="F29" s="61">
        <v>20</v>
      </c>
      <c r="G29" s="60">
        <v>123.91</v>
      </c>
    </row>
    <row r="30" spans="1:7" x14ac:dyDescent="0.25">
      <c r="A30" s="49"/>
      <c r="B30" s="50"/>
      <c r="C30" s="48"/>
      <c r="D30" s="48"/>
      <c r="E30" s="48"/>
      <c r="F30" s="51"/>
      <c r="G30" s="53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I11" sqref="I11"/>
    </sheetView>
  </sheetViews>
  <sheetFormatPr defaultRowHeight="15" x14ac:dyDescent="0.25"/>
  <sheetData>
    <row r="1" spans="1:7" x14ac:dyDescent="0.25">
      <c r="A1" s="67">
        <v>110</v>
      </c>
      <c r="B1" s="68" t="s">
        <v>22</v>
      </c>
      <c r="C1" s="66"/>
      <c r="D1" s="66"/>
      <c r="E1" s="66"/>
      <c r="F1" s="69">
        <v>28</v>
      </c>
      <c r="G1" s="70">
        <v>14.08</v>
      </c>
    </row>
    <row r="2" spans="1:7" x14ac:dyDescent="0.25">
      <c r="A2" s="67">
        <v>120</v>
      </c>
      <c r="B2" s="68" t="s">
        <v>23</v>
      </c>
      <c r="C2" s="66"/>
      <c r="D2" s="66"/>
      <c r="E2" s="66"/>
      <c r="F2" s="69">
        <v>57</v>
      </c>
      <c r="G2" s="70">
        <v>33.89</v>
      </c>
    </row>
    <row r="3" spans="1:7" x14ac:dyDescent="0.25">
      <c r="A3" s="67">
        <v>130</v>
      </c>
      <c r="B3" s="68" t="s">
        <v>24</v>
      </c>
      <c r="C3" s="66"/>
      <c r="D3" s="66"/>
      <c r="E3" s="66"/>
      <c r="F3" s="69">
        <v>5</v>
      </c>
      <c r="G3" s="71">
        <v>2.94</v>
      </c>
    </row>
    <row r="4" spans="1:7" x14ac:dyDescent="0.25">
      <c r="A4" s="67">
        <v>140</v>
      </c>
      <c r="B4" s="68" t="s">
        <v>25</v>
      </c>
      <c r="C4" s="66"/>
      <c r="D4" s="66"/>
      <c r="E4" s="66"/>
      <c r="F4" s="71">
        <v>5.16</v>
      </c>
      <c r="G4" s="71">
        <v>0.31</v>
      </c>
    </row>
    <row r="5" spans="1:7" x14ac:dyDescent="0.25">
      <c r="A5" s="67">
        <v>142</v>
      </c>
      <c r="B5" s="68" t="s">
        <v>26</v>
      </c>
      <c r="C5" s="66"/>
      <c r="D5" s="66"/>
      <c r="E5" s="66"/>
      <c r="F5" s="69">
        <v>150</v>
      </c>
      <c r="G5" s="66"/>
    </row>
    <row r="6" spans="1:7" x14ac:dyDescent="0.25">
      <c r="A6" s="67">
        <v>150</v>
      </c>
      <c r="B6" s="68" t="s">
        <v>27</v>
      </c>
      <c r="C6" s="66"/>
      <c r="D6" s="66"/>
      <c r="E6" s="66"/>
      <c r="F6" s="69">
        <v>41</v>
      </c>
      <c r="G6" s="70">
        <v>18.86</v>
      </c>
    </row>
    <row r="7" spans="1:7" x14ac:dyDescent="0.25">
      <c r="A7" s="67">
        <v>160</v>
      </c>
      <c r="B7" s="68" t="s">
        <v>28</v>
      </c>
      <c r="C7" s="66"/>
      <c r="D7" s="66"/>
      <c r="E7" s="66"/>
      <c r="F7" s="69">
        <v>11</v>
      </c>
      <c r="G7" s="70">
        <v>11.73</v>
      </c>
    </row>
    <row r="8" spans="1:7" x14ac:dyDescent="0.25">
      <c r="A8" s="67">
        <v>180</v>
      </c>
      <c r="B8" s="68" t="s">
        <v>30</v>
      </c>
      <c r="C8" s="66"/>
      <c r="D8" s="66"/>
      <c r="E8" s="66"/>
      <c r="F8" s="69">
        <v>1</v>
      </c>
      <c r="G8" s="71">
        <v>0.31</v>
      </c>
    </row>
    <row r="9" spans="1:7" x14ac:dyDescent="0.25">
      <c r="A9" s="67">
        <v>210</v>
      </c>
      <c r="B9" s="68" t="s">
        <v>32</v>
      </c>
      <c r="C9" s="66"/>
      <c r="D9" s="66"/>
      <c r="E9" s="66"/>
      <c r="F9" s="69">
        <v>28</v>
      </c>
      <c r="G9" s="66"/>
    </row>
    <row r="10" spans="1:7" x14ac:dyDescent="0.25">
      <c r="A10" s="67">
        <v>220</v>
      </c>
      <c r="B10" s="68" t="s">
        <v>33</v>
      </c>
      <c r="C10" s="66"/>
      <c r="D10" s="66"/>
      <c r="E10" s="66"/>
      <c r="F10" s="69">
        <v>1</v>
      </c>
      <c r="G10" s="71">
        <v>0.6</v>
      </c>
    </row>
    <row r="11" spans="1:7" x14ac:dyDescent="0.25">
      <c r="A11" s="67">
        <v>310</v>
      </c>
      <c r="B11" s="68" t="s">
        <v>37</v>
      </c>
      <c r="C11" s="66"/>
      <c r="D11" s="66"/>
      <c r="E11" s="66"/>
      <c r="F11" s="69">
        <v>7</v>
      </c>
      <c r="G11" s="71">
        <v>3.73</v>
      </c>
    </row>
    <row r="12" spans="1:7" x14ac:dyDescent="0.25">
      <c r="A12" s="67">
        <v>330</v>
      </c>
      <c r="B12" s="68" t="s">
        <v>39</v>
      </c>
      <c r="C12" s="66"/>
      <c r="D12" s="66"/>
      <c r="E12" s="66"/>
      <c r="F12" s="69">
        <v>2</v>
      </c>
      <c r="G12" s="71">
        <v>0.84</v>
      </c>
    </row>
    <row r="13" spans="1:7" x14ac:dyDescent="0.25">
      <c r="A13" s="67">
        <v>410</v>
      </c>
      <c r="B13" s="68" t="s">
        <v>42</v>
      </c>
      <c r="C13" s="66"/>
      <c r="D13" s="66"/>
      <c r="E13" s="66"/>
      <c r="F13" s="69">
        <v>4</v>
      </c>
      <c r="G13" s="71">
        <v>1.3</v>
      </c>
    </row>
    <row r="14" spans="1:7" x14ac:dyDescent="0.25">
      <c r="A14" s="67">
        <v>420</v>
      </c>
      <c r="B14" s="68" t="s">
        <v>43</v>
      </c>
      <c r="C14" s="66"/>
      <c r="D14" s="66"/>
      <c r="E14" s="66"/>
      <c r="F14" s="69">
        <v>1</v>
      </c>
      <c r="G14" s="71">
        <v>6.58</v>
      </c>
    </row>
    <row r="15" spans="1:7" x14ac:dyDescent="0.25">
      <c r="A15" s="67">
        <v>510</v>
      </c>
      <c r="B15" s="68" t="s">
        <v>44</v>
      </c>
      <c r="C15" s="66"/>
      <c r="D15" s="66"/>
      <c r="E15" s="66"/>
      <c r="F15" s="69">
        <v>1</v>
      </c>
      <c r="G15" s="71">
        <v>0.23</v>
      </c>
    </row>
    <row r="16" spans="1:7" x14ac:dyDescent="0.25">
      <c r="A16" s="49"/>
      <c r="B16" s="50"/>
      <c r="C16" s="48"/>
      <c r="D16" s="48"/>
      <c r="E16" s="48"/>
      <c r="F16" s="51"/>
      <c r="G16" s="52"/>
    </row>
    <row r="17" spans="1:7" x14ac:dyDescent="0.25">
      <c r="A17" s="49"/>
      <c r="B17" s="50"/>
      <c r="C17" s="48"/>
      <c r="D17" s="48"/>
      <c r="E17" s="48"/>
      <c r="F17" s="51"/>
      <c r="G17" s="52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6"/>
      <c r="B9" s="56"/>
      <c r="C9" s="56"/>
      <c r="D9" s="56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22"/>
      <c r="G13" s="25"/>
    </row>
    <row r="14" spans="1:8" x14ac:dyDescent="0.25">
      <c r="A14" s="22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22"/>
      <c r="G545" s="25"/>
    </row>
    <row r="546" spans="1:8" x14ac:dyDescent="0.25">
      <c r="A546" s="22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22"/>
      <c r="G730" s="25"/>
    </row>
    <row r="731" spans="1:8" x14ac:dyDescent="0.25">
      <c r="A731" s="22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30" sqref="I30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5" t="s">
        <v>0</v>
      </c>
      <c r="B1" s="55"/>
      <c r="C1" s="55"/>
      <c r="D1" s="55"/>
      <c r="E1" s="55"/>
      <c r="F1" s="55"/>
      <c r="G1" s="55"/>
      <c r="I1" s="17" t="s">
        <v>54</v>
      </c>
      <c r="J1" s="18">
        <f>G10</f>
        <v>-461</v>
      </c>
      <c r="L1" s="38" t="s">
        <v>88</v>
      </c>
      <c r="M1" s="39">
        <f>24+28+8</f>
        <v>60</v>
      </c>
      <c r="O1" s="44" t="s">
        <v>7</v>
      </c>
      <c r="P1" s="45"/>
    </row>
    <row r="2" spans="1:16" ht="18.75" x14ac:dyDescent="0.4">
      <c r="A2" s="55"/>
      <c r="B2" s="55"/>
      <c r="C2" s="55"/>
      <c r="D2" s="55"/>
      <c r="E2" s="55"/>
      <c r="F2" s="55"/>
      <c r="G2" s="55"/>
      <c r="I2" s="13" t="s">
        <v>60</v>
      </c>
      <c r="J2" s="14">
        <f>D54*-1</f>
        <v>-95.4</v>
      </c>
      <c r="L2" s="40" t="s">
        <v>61</v>
      </c>
      <c r="M2" s="38">
        <f>J1+M1</f>
        <v>-401</v>
      </c>
      <c r="O2" s="44" t="s">
        <v>91</v>
      </c>
      <c r="P2" s="45"/>
    </row>
    <row r="3" spans="1:16" ht="18.75" x14ac:dyDescent="0.4">
      <c r="A3" s="55"/>
      <c r="B3" s="55"/>
      <c r="C3" s="55"/>
      <c r="D3" s="55"/>
      <c r="E3" s="55"/>
      <c r="F3" s="55"/>
      <c r="G3" s="55"/>
      <c r="I3" s="15" t="s">
        <v>53</v>
      </c>
      <c r="J3" s="16">
        <f>G54+J1+J2</f>
        <v>108704.44000000002</v>
      </c>
      <c r="O3" s="44" t="s">
        <v>89</v>
      </c>
      <c r="P3" s="54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6" t="s">
        <v>90</v>
      </c>
      <c r="P4" s="47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1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-461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-461</v>
      </c>
      <c r="J10" s="42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5.2</v>
      </c>
      <c r="J11" s="43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3.05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3.05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15511.31</v>
      </c>
      <c r="D22" s="3">
        <f>IFERROR(INDEX('SubDept Coupon (Local Discount)'!G$1:G$100,MATCH('SubDept Sales Report'!A22,'SubDept Coupon (Local Discount)'!A$1:A$100,0)),0)</f>
        <v>14.08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15525.39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11407.64</v>
      </c>
      <c r="D23" s="3">
        <f>IFERROR(INDEX('SubDept Coupon (Local Discount)'!G$1:G$100,MATCH('SubDept Sales Report'!A23,'SubDept Coupon (Local Discount)'!A$1:A$100,0)),0)</f>
        <v>33.89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11441.529999999999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4388.49</v>
      </c>
      <c r="D24" s="3">
        <f>IFERROR(INDEX('SubDept Coupon (Local Discount)'!G$1:G$100,MATCH('SubDept Sales Report'!A24,'SubDept Coupon (Local Discount)'!A$1:A$100,0)),0)</f>
        <v>2.94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4391.4299999999994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11845.21</v>
      </c>
      <c r="D25" s="3">
        <f>IFERROR(INDEX('SubDept Coupon (Local Discount)'!G$1:G$100,MATCH('SubDept Sales Report'!A25,'SubDept Coupon (Local Discount)'!A$1:A$100,0)),0)</f>
        <v>0.31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11845.519999999999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1074.69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1074.69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2531.65</v>
      </c>
      <c r="D27" s="3">
        <f>IFERROR(INDEX('SubDept Coupon (Local Discount)'!G$1:G$100,MATCH('SubDept Sales Report'!A27,'SubDept Coupon (Local Discount)'!A$1:A$100,0)),0)</f>
        <v>18.86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2550.5100000000002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792.13</v>
      </c>
      <c r="D28" s="3">
        <f>IFERROR(INDEX('SubDept Coupon (Local Discount)'!G$1:G$100,MATCH('SubDept Sales Report'!A28,'SubDept Coupon (Local Discount)'!A$1:A$100,0)),0)</f>
        <v>11.73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803.86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165.67</v>
      </c>
      <c r="D30" s="3">
        <f>IFERROR(INDEX('SubDept Coupon (Local Discount)'!G$1:G$100,MATCH('SubDept Sales Report'!A30,'SubDept Coupon (Local Discount)'!A$1:A$100,0)),0)</f>
        <v>0.31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165.98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982.35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982.35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10673.96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10673.96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2970.53</v>
      </c>
      <c r="D33" s="3">
        <f>IFERROR(INDEX('SubDept Coupon (Local Discount)'!G$1:G$100,MATCH('SubDept Sales Report'!A33,'SubDept Coupon (Local Discount)'!A$1:A$100,0)),0)</f>
        <v>0.6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2971.13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781.33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781.33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718.38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718.38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958.1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958.1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5341.79</v>
      </c>
      <c r="D39" s="3">
        <f>IFERROR(INDEX('SubDept Coupon (Local Discount)'!G$1:G$100,MATCH('SubDept Sales Report'!A39,'SubDept Coupon (Local Discount)'!A$1:A$100,0)),0)</f>
        <v>3.73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5345.5199999999995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6890.31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6890.31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1631.6</v>
      </c>
      <c r="D41" s="3">
        <f>IFERROR(INDEX('SubDept Coupon (Local Discount)'!G$1:G$100,MATCH('SubDept Sales Report'!A41,'SubDept Coupon (Local Discount)'!A$1:A$100,0)),0)</f>
        <v>0.84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1632.4399999999998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2291.66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2291.66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1353.73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1353.73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15404.21</v>
      </c>
      <c r="D44" s="3">
        <f>IFERROR(INDEX('SubDept Coupon (Local Discount)'!G$1:G$100,MATCH('SubDept Sales Report'!A44,'SubDept Coupon (Local Discount)'!A$1:A$100,0)),0)</f>
        <v>1.3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15405.509999999998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2655.52</v>
      </c>
      <c r="D45" s="3">
        <f>IFERROR(INDEX('SubDept Coupon (Local Discount)'!G$1:G$100,MATCH('SubDept Sales Report'!A45,'SubDept Coupon (Local Discount)'!A$1:A$100,0)),0)</f>
        <v>6.58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2662.1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2594.09</v>
      </c>
      <c r="D46" s="3">
        <f>IFERROR(INDEX('SubDept Coupon (Local Discount)'!G$1:G$100,MATCH('SubDept Sales Report'!A46,'SubDept Coupon (Local Discount)'!A$1:A$100,0)),0)</f>
        <v>0.23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2594.3200000000002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6054.94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6054.94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28.99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28.99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-15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73">
        <f t="shared" si="0"/>
        <v>-15</v>
      </c>
      <c r="H52">
        <v>7210110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123.91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123.91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108704.44</v>
      </c>
      <c r="D54" s="11">
        <f>SUM(D5:D53)</f>
        <v>95.4</v>
      </c>
      <c r="E54" s="11">
        <f>SUM(E5:E53)</f>
        <v>0</v>
      </c>
      <c r="F54" s="11">
        <f>SUM(F5:F53)</f>
        <v>0</v>
      </c>
      <c r="G54" s="72">
        <f>SUM(G11:G53,G9,G8,G7,G6,G5)</f>
        <v>109260.84000000001</v>
      </c>
      <c r="I54" s="12"/>
      <c r="J54" s="3"/>
      <c r="K54" s="3"/>
    </row>
  </sheetData>
  <autoFilter ref="A4:G54" xr:uid="{459199FD-0CD3-4C93-B98C-3BA614742282}">
    <filterColumn colId="6">
      <filters>
        <filter val="$(461.00)"/>
        <filter val="$3.05"/>
        <filter val="$5.20"/>
        <filter val="10673.96"/>
        <filter val="1074.69"/>
        <filter val="109260.84"/>
        <filter val="11441.53"/>
        <filter val="11845.52"/>
        <filter val="123.91"/>
        <filter val="1353.73"/>
        <filter val="-15"/>
        <filter val="15405.51"/>
        <filter val="15525.39"/>
        <filter val="1632.44"/>
        <filter val="165.98"/>
        <filter val="2291.66"/>
        <filter val="2550.51"/>
        <filter val="2594.32"/>
        <filter val="2662.1"/>
        <filter val="28.99"/>
        <filter val="2971.13"/>
        <filter val="4391.43"/>
        <filter val="5345.52"/>
        <filter val="6054.94"/>
        <filter val="6890.31"/>
        <filter val="718.38"/>
        <filter val="781.33"/>
        <filter val="803.86"/>
        <filter val="958.1"/>
        <filter val="982.3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2026-07-16T13:54:28Z</dcterms:modified>
</cp:coreProperties>
</file>