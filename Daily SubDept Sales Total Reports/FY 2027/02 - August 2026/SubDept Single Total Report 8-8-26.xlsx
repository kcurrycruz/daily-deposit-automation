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D32886F8-E202-4CC0-8B0C-5C7DEABB994B}" xr6:coauthVersionLast="47" xr6:coauthVersionMax="47" xr10:uidLastSave="{00000000-0000-0000-0000-000000000000}"/>
  <bookViews>
    <workbookView xWindow="-22365" yWindow="0" windowWidth="20160" windowHeight="12885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<sst xmlns="http://schemas.openxmlformats.org/spreadsheetml/2006/main" count="140" uniqueCount="93">
  <si>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</si>
  <si>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</si>
  <si>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</si>
  <si>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</si>
  <si>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</si>
  <si>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</si>
  <si>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</si>
  <si>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</si>
  <si>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</si>
  <si>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</si>
  <si>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</si>
  <si>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</si>
  <si>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</si>
  <si>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</si>
  <si>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</si>
  <si>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</si>
  <si>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</si>
  <si>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</si>
  <si>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</si>
  <si>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</si>
  <si>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</si>
  <si>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</si>
  <si>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</si>
  <si>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</si>
  <si>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</si>
  <si>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</si>
  <si>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</si>
  <si>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</si>
  <si>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</si>
  <si>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</si>
  <si>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</si>
  <si>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</si>
  <si>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</si>
  <si>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</si>
  <si>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</si>
  <si>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</si>
  <si>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</si>
  <si>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</si>
  <si>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</si>
  <si>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</si>
  <si>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</si>
  <si>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</si>
  <si>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</si>
  <si>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</si>
  <si>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</si>
  <si>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</si>
  <si>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</si>
  <si>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</si>
  <si>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</si>
  <si>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</si>
  <si>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</si>
  <si>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</si>
  <si>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</si>
  <si>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</si>
  <si>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</si>
  <si>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</si>
  <si>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</si>
  <si>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</si>
  <si>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</si>
  <si>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</si>
  <si>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</si>
  <si>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</si>
  <si>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</si>
  <si>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</si>
  <si>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</si>
  <si>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</si>
  <si>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</si>
  <si>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</si>
  <si>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</si>
  <si>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</si>
  <si>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</si>
  <si>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</si>
  <si>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</si>
  <si>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</si>
  <si>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</si>
  <si>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</si>
  <si>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</si>
  <si>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</si>
  <si>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</si>
  <si>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</si>
  <si>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</si>
  <si>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</si>
  <si>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</si>
  <si>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</si>
  <si>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</si>
  <si>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</si>
  <si>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</si>
  <si>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</si>
  <si>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</si>
  <si>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</si>
  <si>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</si>
  <si>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</si>
  <si>
    <t>Maria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</si>
</sst>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81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5" fillId="0" borderId="0" xfId="1"/>
    <xf numFmtId="1" fontId="4" fillId="0" borderId="0" xfId="1" applyNumberFormat="1" applyFont="1" applyAlignment="1" applyProtection="1">
      <alignment horizontal="left" vertical="top"/>
      <protection locked="0"/>
    </xf>
    <xf numFmtId="0" fontId="4" fillId="0" borderId="0" xfId="1" applyFont="1" applyAlignment="1" applyProtection="1">
      <alignment horizontal="left" vertical="top"/>
      <protection locked="0"/>
    </xf>
    <xf numFmtId="1" fontId="5" fillId="0" borderId="0" xfId="1" applyNumberFormat="1" applyAlignment="1" applyProtection="1">
      <alignment horizontal="right" vertical="top"/>
      <protection locked="0"/>
    </xf>
    <xf numFmtId="2" fontId="5" fillId="0" borderId="0" xfId="1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5" fillId="0" borderId="0" xfId="1"/>
    <xf numFmtId="1" fontId="4" fillId="0" borderId="0" xfId="1" applyNumberFormat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left" vertical="top"/>
      <protection locked="0"/>
    </xf>
    <xf numFmtId="1" fontId="5" fillId="0" borderId="0" xfId="1" applyNumberFormat="1" applyFill="1" applyAlignment="1" applyProtection="1">
      <alignment horizontal="right" vertical="top"/>
      <protection locked="0"/>
    </xf>
    <xf numFmtId="165" fontId="5" fillId="0" borderId="0" xfId="1" applyNumberFormat="1" applyFill="1" applyAlignment="1" applyProtection="1">
      <alignment horizontal="right" vertical="top"/>
      <protection locked="0"/>
    </xf>
    <xf numFmtId="2" fontId="5" fillId="0" borderId="0" xfId="1" applyNumberFormat="1" applyFill="1" applyAlignment="1" applyProtection="1">
      <alignment horizontal="right" vertical="top"/>
      <protection locked="0"/>
    </xf>
    <xf numFmtId="0" fontId="5" fillId="0" borderId="0" xfId="1"/>
    <xf numFmtId="1" fontId="4" fillId="0" borderId="0" xfId="1" applyNumberFormat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left" vertical="top"/>
      <protection locked="0"/>
    </xf>
    <xf numFmtId="164" fontId="5" fillId="0" borderId="0" xfId="1" applyNumberFormat="1" applyFill="1" applyAlignment="1" applyProtection="1">
      <alignment horizontal="right" vertical="top"/>
      <protection locked="0"/>
    </xf>
    <xf numFmtId="1" fontId="5" fillId="0" borderId="0" xfId="1" applyNumberFormat="1" applyFill="1" applyAlignment="1" applyProtection="1">
      <alignment horizontal="right" vertical="top"/>
      <protection locked="0"/>
    </xf>
    <xf numFmtId="2" fontId="5" fillId="0" borderId="0" xfId="1" applyNumberFormat="1" applyFill="1" applyAlignment="1" applyProtection="1">
      <alignment horizontal="right" vertical="top"/>
      <protection locked="0"/>
    </xf>
    <xf numFmtId="167" fontId="5" fillId="0" borderId="0" xfId="1" applyNumberFormat="1" applyFill="1" applyAlignment="1" applyProtection="1">
      <alignment horizontal="right" vertical="top"/>
      <protection locked="0"/>
    </xf>
    <xf numFmtId="165" fontId="5" fillId="0" borderId="0" xfId="1" applyNumberFormat="1" applyFill="1" applyAlignment="1" applyProtection="1">
      <alignment horizontal="right" vertical="top"/>
      <protection locked="0"/>
    </xf>
    <xf numFmtId="166" fontId="5" fillId="0" borderId="0" xfId="1" applyNumberFormat="1" applyFill="1" applyAlignment="1" applyProtection="1">
      <alignment horizontal="right" vertical="top"/>
      <protection locked="0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I6" sqref="I6"/>
    </sheetView>
  </sheetViews>
  <sheetFormatPr defaultRowHeight="15" x14ac:dyDescent="0.25"/>
  <cols>
    <col min="2" max="2" width="14.7109375" bestFit="1" customWidth="1"/>
  </cols>
  <sheetData>
    <row r="1" spans="1:7" x14ac:dyDescent="0.25">
      <c r="A1" s="69">
        <v>27</v>
      </c>
      <c r="B1" s="70" t="s">
        <v>11</v>
      </c>
      <c r="C1" s="68"/>
      <c r="D1" s="68"/>
      <c r="E1" s="68"/>
      <c r="F1" s="68"/>
      <c r="G1" s="71">
        <v>-916.12</v>
      </c>
    </row>
    <row r="2" spans="1:7" x14ac:dyDescent="0.25">
      <c r="A2" s="69">
        <v>28</v>
      </c>
      <c r="B2" s="70" t="s">
        <v>12</v>
      </c>
      <c r="C2" s="68"/>
      <c r="D2" s="68"/>
      <c r="E2" s="68"/>
      <c r="F2" s="72">
        <v>61</v>
      </c>
      <c r="G2" s="73">
        <v>6.1</v>
      </c>
    </row>
    <row r="3" spans="1:7" x14ac:dyDescent="0.25">
      <c r="A3" s="69">
        <v>38</v>
      </c>
      <c r="B3" s="70" t="s">
        <v>55</v>
      </c>
      <c r="C3" s="68"/>
      <c r="D3" s="68"/>
      <c r="E3" s="68"/>
      <c r="F3" s="72">
        <v>65</v>
      </c>
      <c r="G3" s="73">
        <v>3.25</v>
      </c>
    </row>
    <row r="4" spans="1:7" x14ac:dyDescent="0.25">
      <c r="A4" s="69">
        <v>110</v>
      </c>
      <c r="B4" s="70" t="s">
        <v>22</v>
      </c>
      <c r="C4" s="68"/>
      <c r="D4" s="68"/>
      <c r="E4" s="68"/>
      <c r="F4" s="72">
        <v>3482</v>
      </c>
      <c r="G4" s="74">
        <v>16080.95</v>
      </c>
    </row>
    <row r="5" spans="1:7" x14ac:dyDescent="0.25">
      <c r="A5" s="69">
        <v>120</v>
      </c>
      <c r="B5" s="70" t="s">
        <v>23</v>
      </c>
      <c r="C5" s="68"/>
      <c r="D5" s="68"/>
      <c r="E5" s="68"/>
      <c r="F5" s="72">
        <v>2387</v>
      </c>
      <c r="G5" s="74">
        <v>11778.35</v>
      </c>
    </row>
    <row r="6" spans="1:7" x14ac:dyDescent="0.25">
      <c r="A6" s="69">
        <v>130</v>
      </c>
      <c r="B6" s="70" t="s">
        <v>24</v>
      </c>
      <c r="C6" s="68"/>
      <c r="D6" s="68"/>
      <c r="E6" s="68"/>
      <c r="F6" s="72">
        <v>585</v>
      </c>
      <c r="G6" s="76">
        <v>4086.2</v>
      </c>
    </row>
    <row r="7" spans="1:7" x14ac:dyDescent="0.25">
      <c r="A7" s="69">
        <v>140</v>
      </c>
      <c r="B7" s="70" t="s">
        <v>25</v>
      </c>
      <c r="C7" s="68"/>
      <c r="D7" s="68"/>
      <c r="E7" s="68"/>
      <c r="F7" s="72">
        <v>1495</v>
      </c>
      <c r="G7" s="74">
        <v>10044.370000000001</v>
      </c>
    </row>
    <row r="8" spans="1:7" x14ac:dyDescent="0.25">
      <c r="A8" s="69">
        <v>142</v>
      </c>
      <c r="B8" s="70" t="s">
        <v>26</v>
      </c>
      <c r="C8" s="68"/>
      <c r="D8" s="68"/>
      <c r="E8" s="68"/>
      <c r="F8" s="72">
        <v>224</v>
      </c>
      <c r="G8" s="76">
        <v>1068.46</v>
      </c>
    </row>
    <row r="9" spans="1:7" x14ac:dyDescent="0.25">
      <c r="A9" s="69">
        <v>150</v>
      </c>
      <c r="B9" s="70" t="s">
        <v>27</v>
      </c>
      <c r="C9" s="68"/>
      <c r="D9" s="68"/>
      <c r="E9" s="68"/>
      <c r="F9" s="72">
        <v>470</v>
      </c>
      <c r="G9" s="76">
        <v>2735.53</v>
      </c>
    </row>
    <row r="10" spans="1:7" x14ac:dyDescent="0.25">
      <c r="A10" s="69">
        <v>160</v>
      </c>
      <c r="B10" s="70" t="s">
        <v>28</v>
      </c>
      <c r="C10" s="68"/>
      <c r="D10" s="68"/>
      <c r="E10" s="68"/>
      <c r="F10" s="72">
        <v>98</v>
      </c>
      <c r="G10" s="76">
        <v>1087.3699999999999</v>
      </c>
    </row>
    <row r="11" spans="1:7" x14ac:dyDescent="0.25">
      <c r="A11" s="69">
        <v>170</v>
      </c>
      <c r="B11" s="70" t="s">
        <v>29</v>
      </c>
      <c r="C11" s="68"/>
      <c r="D11" s="68"/>
      <c r="E11" s="68"/>
      <c r="F11" s="68"/>
      <c r="G11" s="68"/>
    </row>
    <row r="12" spans="1:7" x14ac:dyDescent="0.25">
      <c r="A12" s="69">
        <v>180</v>
      </c>
      <c r="B12" s="70" t="s">
        <v>30</v>
      </c>
      <c r="C12" s="68"/>
      <c r="D12" s="68"/>
      <c r="E12" s="68"/>
      <c r="F12" s="72">
        <v>145</v>
      </c>
      <c r="G12" s="71">
        <v>416.82</v>
      </c>
    </row>
    <row r="13" spans="1:7" x14ac:dyDescent="0.25">
      <c r="A13" s="69">
        <v>190</v>
      </c>
      <c r="B13" s="70" t="s">
        <v>31</v>
      </c>
      <c r="C13" s="68"/>
      <c r="D13" s="68"/>
      <c r="E13" s="68"/>
      <c r="F13" s="72">
        <v>152</v>
      </c>
      <c r="G13" s="76">
        <v>1051.6400000000001</v>
      </c>
    </row>
    <row r="14" spans="1:7" x14ac:dyDescent="0.25">
      <c r="A14" s="69">
        <v>210</v>
      </c>
      <c r="B14" s="70" t="s">
        <v>32</v>
      </c>
      <c r="C14" s="68"/>
      <c r="D14" s="68"/>
      <c r="E14" s="68"/>
      <c r="F14" s="72">
        <v>1009</v>
      </c>
      <c r="G14" s="76">
        <v>8551.11</v>
      </c>
    </row>
    <row r="15" spans="1:7" x14ac:dyDescent="0.25">
      <c r="A15" s="69">
        <v>220</v>
      </c>
      <c r="B15" s="70" t="s">
        <v>33</v>
      </c>
      <c r="C15" s="68"/>
      <c r="D15" s="68"/>
      <c r="E15" s="68"/>
      <c r="F15" s="72">
        <v>705</v>
      </c>
      <c r="G15" s="76">
        <v>2532.81</v>
      </c>
    </row>
    <row r="16" spans="1:7" x14ac:dyDescent="0.25">
      <c r="A16" s="69">
        <v>230</v>
      </c>
      <c r="B16" s="70" t="s">
        <v>34</v>
      </c>
      <c r="C16" s="68"/>
      <c r="D16" s="68"/>
      <c r="E16" s="68"/>
      <c r="F16" s="72">
        <v>7</v>
      </c>
      <c r="G16" s="71">
        <v>385.44</v>
      </c>
    </row>
    <row r="17" spans="1:7" x14ac:dyDescent="0.25">
      <c r="A17" s="69">
        <v>235</v>
      </c>
      <c r="B17" s="70" t="s">
        <v>59</v>
      </c>
      <c r="C17" s="68"/>
      <c r="D17" s="68"/>
      <c r="E17" s="68"/>
      <c r="F17" s="72">
        <v>50</v>
      </c>
      <c r="G17" s="71">
        <v>617</v>
      </c>
    </row>
    <row r="18" spans="1:7" x14ac:dyDescent="0.25">
      <c r="A18" s="69">
        <v>240</v>
      </c>
      <c r="B18" s="70" t="s">
        <v>35</v>
      </c>
      <c r="C18" s="68"/>
      <c r="D18" s="68"/>
      <c r="E18" s="68"/>
      <c r="F18" s="72">
        <v>220</v>
      </c>
      <c r="G18" s="71">
        <v>883.13</v>
      </c>
    </row>
    <row r="19" spans="1:7" x14ac:dyDescent="0.25">
      <c r="A19" s="69">
        <v>260</v>
      </c>
      <c r="B19" s="70" t="s">
        <v>92</v>
      </c>
      <c r="C19" s="68"/>
      <c r="D19" s="68"/>
      <c r="E19" s="68"/>
      <c r="F19" s="72">
        <v>1</v>
      </c>
      <c r="G19" s="73">
        <v>1.99</v>
      </c>
    </row>
    <row r="20" spans="1:7" x14ac:dyDescent="0.25">
      <c r="A20" s="69">
        <v>310</v>
      </c>
      <c r="B20" s="70" t="s">
        <v>37</v>
      </c>
      <c r="C20" s="68"/>
      <c r="D20" s="68"/>
      <c r="E20" s="68"/>
      <c r="F20" s="72">
        <v>1179</v>
      </c>
      <c r="G20" s="76">
        <v>5932.04</v>
      </c>
    </row>
    <row r="21" spans="1:7" x14ac:dyDescent="0.25">
      <c r="A21" s="69">
        <v>320</v>
      </c>
      <c r="B21" s="70" t="s">
        <v>38</v>
      </c>
      <c r="C21" s="68"/>
      <c r="D21" s="68"/>
      <c r="E21" s="68"/>
      <c r="F21" s="72">
        <v>809</v>
      </c>
      <c r="G21" s="76">
        <v>8468.66</v>
      </c>
    </row>
    <row r="22" spans="1:7" x14ac:dyDescent="0.25">
      <c r="A22" s="69">
        <v>330</v>
      </c>
      <c r="B22" s="70" t="s">
        <v>39</v>
      </c>
      <c r="C22" s="68"/>
      <c r="D22" s="68"/>
      <c r="E22" s="68"/>
      <c r="F22" s="72">
        <v>181</v>
      </c>
      <c r="G22" s="76">
        <v>1882.31</v>
      </c>
    </row>
    <row r="23" spans="1:7" x14ac:dyDescent="0.25">
      <c r="A23" s="69">
        <v>340</v>
      </c>
      <c r="B23" s="70" t="s">
        <v>40</v>
      </c>
      <c r="C23" s="68"/>
      <c r="D23" s="68"/>
      <c r="E23" s="68"/>
      <c r="F23" s="72">
        <v>177</v>
      </c>
      <c r="G23" s="76">
        <v>2628.48</v>
      </c>
    </row>
    <row r="24" spans="1:7" x14ac:dyDescent="0.25">
      <c r="A24" s="69">
        <v>350</v>
      </c>
      <c r="B24" s="70" t="s">
        <v>41</v>
      </c>
      <c r="C24" s="68"/>
      <c r="D24" s="68"/>
      <c r="E24" s="68"/>
      <c r="F24" s="72">
        <v>205</v>
      </c>
      <c r="G24" s="76">
        <v>1962.11</v>
      </c>
    </row>
    <row r="25" spans="1:7" x14ac:dyDescent="0.25">
      <c r="A25" s="69">
        <v>410</v>
      </c>
      <c r="B25" s="70" t="s">
        <v>42</v>
      </c>
      <c r="C25" s="68"/>
      <c r="D25" s="68"/>
      <c r="E25" s="68"/>
      <c r="F25" s="72">
        <v>4832</v>
      </c>
      <c r="G25" s="74">
        <v>16842.12</v>
      </c>
    </row>
    <row r="26" spans="1:7" x14ac:dyDescent="0.25">
      <c r="A26" s="69">
        <v>420</v>
      </c>
      <c r="B26" s="70" t="s">
        <v>43</v>
      </c>
      <c r="C26" s="68"/>
      <c r="D26" s="68"/>
      <c r="E26" s="68"/>
      <c r="F26" s="72">
        <v>211</v>
      </c>
      <c r="G26" s="76">
        <v>1406.92</v>
      </c>
    </row>
    <row r="27" spans="1:7" x14ac:dyDescent="0.25">
      <c r="A27" s="69">
        <v>510</v>
      </c>
      <c r="B27" s="70" t="s">
        <v>44</v>
      </c>
      <c r="C27" s="68"/>
      <c r="D27" s="68"/>
      <c r="E27" s="68"/>
      <c r="F27" s="72">
        <v>305</v>
      </c>
      <c r="G27" s="76">
        <v>2854.9</v>
      </c>
    </row>
    <row r="28" spans="1:7" x14ac:dyDescent="0.25">
      <c r="A28" s="69">
        <v>520</v>
      </c>
      <c r="B28" s="70" t="s">
        <v>45</v>
      </c>
      <c r="C28" s="68"/>
      <c r="D28" s="68"/>
      <c r="E28" s="68"/>
      <c r="F28" s="72">
        <v>253</v>
      </c>
      <c r="G28" s="76">
        <v>3888.36</v>
      </c>
    </row>
    <row r="29" spans="1:7" x14ac:dyDescent="0.25">
      <c r="A29" s="69">
        <v>550</v>
      </c>
      <c r="B29" s="70" t="s">
        <v>48</v>
      </c>
      <c r="C29" s="68"/>
      <c r="D29" s="68"/>
      <c r="E29" s="68"/>
      <c r="F29" s="72">
        <v>5</v>
      </c>
      <c r="G29" s="75">
        <v>56.95</v>
      </c>
    </row>
    <row r="30" spans="1:7" x14ac:dyDescent="0.25">
      <c r="A30" s="69">
        <v>1300</v>
      </c>
      <c r="B30" s="70" t="s">
        <v>51</v>
      </c>
      <c r="C30" s="68"/>
      <c r="D30" s="68"/>
      <c r="E30" s="68"/>
      <c r="F30" s="72">
        <v>24</v>
      </c>
      <c r="G30" s="75">
        <v>79.83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3">
        <v>110</v>
      </c>
      <c r="B1" s="64" t="s">
        <v>22</v>
      </c>
      <c r="C1" s="62"/>
      <c r="D1" s="62"/>
      <c r="E1" s="62"/>
      <c r="F1" s="65">
        <v>29</v>
      </c>
      <c r="G1" s="66">
        <v>14.04</v>
      </c>
    </row>
    <row r="2" spans="1:7" x14ac:dyDescent="0.25">
      <c r="A2" s="63">
        <v>120</v>
      </c>
      <c r="B2" s="64" t="s">
        <v>23</v>
      </c>
      <c r="C2" s="62"/>
      <c r="D2" s="62"/>
      <c r="E2" s="62"/>
      <c r="F2" s="65">
        <v>54</v>
      </c>
      <c r="G2" s="66">
        <v>34.76</v>
      </c>
    </row>
    <row r="3" spans="1:7" x14ac:dyDescent="0.25">
      <c r="A3" s="63">
        <v>130</v>
      </c>
      <c r="B3" s="64" t="s">
        <v>24</v>
      </c>
      <c r="C3" s="62"/>
      <c r="D3" s="62"/>
      <c r="E3" s="62"/>
      <c r="F3" s="65">
        <v>2</v>
      </c>
      <c r="G3" s="67">
        <v>1.63</v>
      </c>
    </row>
    <row r="4" spans="1:7" x14ac:dyDescent="0.25">
      <c r="A4" s="63">
        <v>140</v>
      </c>
      <c r="B4" s="64" t="s">
        <v>25</v>
      </c>
      <c r="C4" s="62"/>
      <c r="D4" s="62"/>
      <c r="E4" s="62"/>
      <c r="F4" s="65">
        <v>1</v>
      </c>
      <c r="G4" s="67">
        <v>3.12</v>
      </c>
    </row>
    <row r="5" spans="1:7" x14ac:dyDescent="0.25">
      <c r="A5" s="63">
        <v>142</v>
      </c>
      <c r="B5" s="64" t="s">
        <v>26</v>
      </c>
      <c r="C5" s="62"/>
      <c r="D5" s="62"/>
      <c r="E5" s="62"/>
      <c r="F5" s="65">
        <v>171</v>
      </c>
      <c r="G5" s="62"/>
    </row>
    <row r="6" spans="1:7" x14ac:dyDescent="0.25">
      <c r="A6" s="63">
        <v>150</v>
      </c>
      <c r="B6" s="64" t="s">
        <v>27</v>
      </c>
      <c r="C6" s="62"/>
      <c r="D6" s="62"/>
      <c r="E6" s="62"/>
      <c r="F6" s="65">
        <v>45</v>
      </c>
      <c r="G6" s="66">
        <v>18.18</v>
      </c>
    </row>
    <row r="7" spans="1:7" x14ac:dyDescent="0.25">
      <c r="A7" s="63">
        <v>160</v>
      </c>
      <c r="B7" s="64" t="s">
        <v>28</v>
      </c>
      <c r="C7" s="62"/>
      <c r="D7" s="62"/>
      <c r="E7" s="62"/>
      <c r="F7" s="65">
        <v>6</v>
      </c>
      <c r="G7" s="67">
        <v>6.65</v>
      </c>
    </row>
    <row r="8" spans="1:7" x14ac:dyDescent="0.25">
      <c r="A8" s="63">
        <v>210</v>
      </c>
      <c r="B8" s="64" t="s">
        <v>32</v>
      </c>
      <c r="C8" s="62"/>
      <c r="D8" s="62"/>
      <c r="E8" s="62"/>
      <c r="F8" s="65">
        <v>25</v>
      </c>
      <c r="G8" s="62"/>
    </row>
    <row r="9" spans="1:7" x14ac:dyDescent="0.25">
      <c r="A9" s="63">
        <v>220</v>
      </c>
      <c r="B9" s="64" t="s">
        <v>33</v>
      </c>
      <c r="C9" s="62"/>
      <c r="D9" s="62"/>
      <c r="E9" s="62"/>
      <c r="F9" s="65">
        <v>2</v>
      </c>
      <c r="G9" s="67">
        <v>1.1000000000000001</v>
      </c>
    </row>
    <row r="10" spans="1:7" x14ac:dyDescent="0.25">
      <c r="A10" s="63">
        <v>310</v>
      </c>
      <c r="B10" s="64" t="s">
        <v>37</v>
      </c>
      <c r="C10" s="62"/>
      <c r="D10" s="62"/>
      <c r="E10" s="62"/>
      <c r="F10" s="65">
        <v>3</v>
      </c>
      <c r="G10" s="67">
        <v>1.69</v>
      </c>
    </row>
    <row r="11" spans="1:7" x14ac:dyDescent="0.25">
      <c r="A11" s="63">
        <v>320</v>
      </c>
      <c r="B11" s="64" t="s">
        <v>38</v>
      </c>
      <c r="C11" s="62"/>
      <c r="D11" s="62"/>
      <c r="E11" s="62"/>
      <c r="F11" s="65">
        <v>6</v>
      </c>
      <c r="G11" s="62"/>
    </row>
    <row r="12" spans="1:7" x14ac:dyDescent="0.25">
      <c r="A12" s="63">
        <v>330</v>
      </c>
      <c r="B12" s="64" t="s">
        <v>39</v>
      </c>
      <c r="C12" s="62"/>
      <c r="D12" s="62"/>
      <c r="E12" s="62"/>
      <c r="F12" s="65">
        <v>4</v>
      </c>
      <c r="G12" s="67">
        <v>2.52</v>
      </c>
    </row>
    <row r="13" spans="1:7" x14ac:dyDescent="0.25">
      <c r="A13" s="63">
        <v>350</v>
      </c>
      <c r="B13" s="64" t="s">
        <v>41</v>
      </c>
      <c r="C13" s="62"/>
      <c r="D13" s="62"/>
      <c r="E13" s="62"/>
      <c r="F13" s="65">
        <v>1</v>
      </c>
      <c r="G13" s="67">
        <v>1.25</v>
      </c>
    </row>
    <row r="14" spans="1:7" x14ac:dyDescent="0.25">
      <c r="A14" s="63">
        <v>410</v>
      </c>
      <c r="B14" s="64" t="s">
        <v>42</v>
      </c>
      <c r="C14" s="62"/>
      <c r="D14" s="62"/>
      <c r="E14" s="62"/>
      <c r="F14" s="65">
        <v>4</v>
      </c>
      <c r="G14" s="67">
        <v>0.7</v>
      </c>
    </row>
    <row r="15" spans="1:7" x14ac:dyDescent="0.25">
      <c r="A15" s="63">
        <v>520</v>
      </c>
      <c r="B15" s="64" t="s">
        <v>45</v>
      </c>
      <c r="C15" s="62"/>
      <c r="D15" s="62"/>
      <c r="E15" s="62"/>
      <c r="F15" s="65">
        <v>1</v>
      </c>
      <c r="G15" s="67">
        <v>0.9</v>
      </c>
    </row>
    <row r="16" spans="1:7" x14ac:dyDescent="0.25">
      <c r="A16" s="56"/>
      <c r="B16" s="57"/>
      <c r="C16" s="55"/>
      <c r="D16" s="55"/>
      <c r="E16" s="55"/>
      <c r="F16" s="58"/>
      <c r="G16" s="59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0"/>
      <c r="B9" s="60"/>
      <c r="C9" s="60"/>
      <c r="D9" s="60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0"/>
      <c r="B12" s="60"/>
      <c r="C12" s="60"/>
      <c r="D12" s="60"/>
      <c r="E12" s="60"/>
      <c r="F12" s="60"/>
      <c r="G12" s="60"/>
      <c r="H12" s="60"/>
    </row>
    <row r="13" spans="1:8" ht="15" customHeight="1" x14ac:dyDescent="0.25">
      <c r="A13" s="60"/>
      <c r="B13" s="60"/>
      <c r="C13" s="60"/>
      <c r="D13" s="60"/>
      <c r="E13" s="60"/>
      <c r="F13" s="22"/>
      <c r="G13" s="25"/>
    </row>
    <row r="14" spans="1:8" x14ac:dyDescent="0.25">
      <c r="A14" s="22"/>
    </row>
    <row r="15" spans="1:8" x14ac:dyDescent="0.25">
      <c r="A15" s="60"/>
      <c r="B15" s="60"/>
      <c r="C15" s="60"/>
      <c r="D15" s="60"/>
      <c r="E15" s="60"/>
      <c r="F15" s="60"/>
      <c r="G15" s="60"/>
      <c r="H15" s="60"/>
    </row>
    <row r="16" spans="1:8" ht="15" customHeight="1" x14ac:dyDescent="0.25">
      <c r="A16" s="60"/>
      <c r="B16" s="60"/>
      <c r="C16" s="60"/>
      <c r="D16" s="60"/>
      <c r="E16" s="60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0"/>
      <c r="B544" s="60"/>
      <c r="C544" s="60"/>
      <c r="D544" s="60"/>
      <c r="E544" s="60"/>
      <c r="F544" s="60"/>
      <c r="G544" s="60"/>
      <c r="H544" s="60"/>
    </row>
    <row r="545" spans="1:8" ht="15" customHeight="1" x14ac:dyDescent="0.25">
      <c r="A545" s="60"/>
      <c r="B545" s="60"/>
      <c r="C545" s="60"/>
      <c r="D545" s="60"/>
      <c r="E545" s="60"/>
      <c r="F545" s="22"/>
      <c r="G545" s="25"/>
    </row>
    <row r="546" spans="1:8" x14ac:dyDescent="0.25">
      <c r="A546" s="22"/>
    </row>
    <row r="547" spans="1:8" x14ac:dyDescent="0.25">
      <c r="A547" s="60"/>
      <c r="B547" s="60"/>
      <c r="C547" s="60"/>
      <c r="D547" s="60"/>
      <c r="E547" s="60"/>
      <c r="F547" s="60"/>
      <c r="G547" s="60"/>
      <c r="H547" s="60"/>
    </row>
    <row r="548" spans="1:8" ht="15" customHeight="1" x14ac:dyDescent="0.25">
      <c r="A548" s="60"/>
      <c r="B548" s="60"/>
      <c r="C548" s="60"/>
      <c r="D548" s="60"/>
      <c r="E548" s="60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0"/>
      <c r="B729" s="60"/>
      <c r="C729" s="60"/>
      <c r="D729" s="60"/>
      <c r="E729" s="60"/>
      <c r="F729" s="60"/>
      <c r="G729" s="60"/>
      <c r="H729" s="60"/>
    </row>
    <row r="730" spans="1:8" ht="15" customHeight="1" x14ac:dyDescent="0.25">
      <c r="A730" s="60"/>
      <c r="B730" s="60"/>
      <c r="C730" s="60"/>
      <c r="D730" s="60"/>
      <c r="E730" s="60"/>
      <c r="F730" s="22"/>
      <c r="G730" s="25"/>
    </row>
    <row r="731" spans="1:8" x14ac:dyDescent="0.25">
      <c r="A731" s="22"/>
    </row>
    <row r="732" spans="1:8" x14ac:dyDescent="0.25">
      <c r="A732" s="60"/>
      <c r="B732" s="60"/>
      <c r="C732" s="60"/>
      <c r="D732" s="60"/>
      <c r="E732" s="60"/>
      <c r="F732" s="60"/>
      <c r="G732" s="60"/>
      <c r="H732" s="60"/>
    </row>
    <row r="733" spans="1:8" ht="15" customHeight="1" x14ac:dyDescent="0.25">
      <c r="A733" s="60"/>
      <c r="B733" s="60"/>
      <c r="C733" s="60"/>
      <c r="D733" s="60"/>
      <c r="E733" s="60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31" sqref="I31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1" t="s">
        <v>0</v>
      </c>
      <c r="B1" s="61"/>
      <c r="C1" s="61"/>
      <c r="D1" s="61"/>
      <c r="E1" s="61"/>
      <c r="F1" s="61"/>
      <c r="G1" s="61"/>
      <c r="I1" s="17" t="s">
        <v>54</v>
      </c>
      <c r="J1" s="18">
        <f>G10</f>
        <v>-916.12</v>
      </c>
      <c r="L1" s="39" t="s">
        <v>88</v>
      </c>
      <c r="M1" s="40">
        <f>26+24+12+8</f>
        <v>70</v>
      </c>
      <c r="O1" s="45" t="s">
        <v>7</v>
      </c>
      <c r="P1" s="46"/>
    </row>
    <row r="2" spans="1:16" ht="18.75" x14ac:dyDescent="0.4">
      <c r="A2" s="61"/>
      <c r="B2" s="61"/>
      <c r="C2" s="61"/>
      <c r="D2" s="61"/>
      <c r="E2" s="61"/>
      <c r="F2" s="61"/>
      <c r="G2" s="61"/>
      <c r="I2" s="13" t="s">
        <v>60</v>
      </c>
      <c r="J2" s="14">
        <f>D54*-1</f>
        <v>-86.539999999999992</v>
      </c>
      <c r="L2" s="41" t="s">
        <v>61</v>
      </c>
      <c r="M2" s="39">
        <f>J1+M1</f>
        <v>-846.12</v>
      </c>
      <c r="O2" s="45" t="s">
        <v>91</v>
      </c>
      <c r="P2" s="46"/>
    </row>
    <row r="3" spans="1:16" ht="18.75" x14ac:dyDescent="0.4">
      <c r="A3" s="61"/>
      <c r="B3" s="61"/>
      <c r="C3" s="61"/>
      <c r="D3" s="61"/>
      <c r="E3" s="61"/>
      <c r="F3" s="61"/>
      <c r="G3" s="61"/>
      <c r="I3" s="15" t="s">
        <v>53</v>
      </c>
      <c r="J3" s="16">
        <f>G54+J1+J2</f>
        <v>106417.08</v>
      </c>
      <c r="O3" s="45" t="s">
        <v>89</v>
      </c>
      <c r="P3" s="54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-916.12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9">
        <f>C10+D10</f>
        <v>-916.12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9">
        <f t="shared" si="0"/>
        <v>6.1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3.25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9">
        <f t="shared" si="0"/>
        <v>3.25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16080.95</v>
      </c>
      <c r="D22" s="3">
        <f>IFERROR(INDEX('SubDept Coupon (Local Discount)'!G$1:G$100,MATCH('SubDept Sales Report'!A22,'SubDept Coupon (Local Discount)'!A$1:A$100,0)),0)</f>
        <v>14.04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9">
        <f t="shared" si="0"/>
        <v>16094.990000000002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11778.35</v>
      </c>
      <c r="D23" s="3">
        <f>IFERROR(INDEX('SubDept Coupon (Local Discount)'!G$1:G$100,MATCH('SubDept Sales Report'!A23,'SubDept Coupon (Local Discount)'!A$1:A$100,0)),0)</f>
        <v>34.76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9">
        <f t="shared" si="0"/>
        <v>11813.11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4086.2</v>
      </c>
      <c r="D24" s="3">
        <f>IFERROR(INDEX('SubDept Coupon (Local Discount)'!G$1:G$100,MATCH('SubDept Sales Report'!A24,'SubDept Coupon (Local Discount)'!A$1:A$100,0)),0)</f>
        <v>1.63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9">
        <f t="shared" si="0"/>
        <v>4087.83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10044.370000000001</v>
      </c>
      <c r="D25" s="3">
        <f>IFERROR(INDEX('SubDept Coupon (Local Discount)'!G$1:G$100,MATCH('SubDept Sales Report'!A25,'SubDept Coupon (Local Discount)'!A$1:A$100,0)),0)</f>
        <v>3.12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9">
        <f t="shared" si="0"/>
        <v>10047.490000000002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1068.46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9">
        <f t="shared" si="0"/>
        <v>1068.46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2735.53</v>
      </c>
      <c r="D27" s="3">
        <f>IFERROR(INDEX('SubDept Coupon (Local Discount)'!G$1:G$100,MATCH('SubDept Sales Report'!A27,'SubDept Coupon (Local Discount)'!A$1:A$100,0)),0)</f>
        <v>18.18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9">
        <f t="shared" si="0"/>
        <v>2753.71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1087.3699999999999</v>
      </c>
      <c r="D28" s="3">
        <f>IFERROR(INDEX('SubDept Coupon (Local Discount)'!G$1:G$100,MATCH('SubDept Sales Report'!A28,'SubDept Coupon (Local Discount)'!A$1:A$100,0)),0)</f>
        <v>6.65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9">
        <f t="shared" si="0"/>
        <v>1094.02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416.82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9">
        <f t="shared" si="0"/>
        <v>416.82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1051.6400000000001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9">
        <f t="shared" si="0"/>
        <v>1051.6400000000001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8551.11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9">
        <f t="shared" si="0"/>
        <v>8551.11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2532.81</v>
      </c>
      <c r="D33" s="3">
        <f>IFERROR(INDEX('SubDept Coupon (Local Discount)'!G$1:G$100,MATCH('SubDept Sales Report'!A33,'SubDept Coupon (Local Discount)'!A$1:A$100,0)),0)</f>
        <v>1.1000000000000001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9">
        <f t="shared" si="0"/>
        <v>2533.91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385.44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9">
        <f>C34+D34</f>
        <v>385.44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617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9">
        <f t="shared" si="0"/>
        <v>617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883.13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9">
        <f t="shared" si="0"/>
        <v>883.13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0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0</v>
      </c>
      <c r="I37" s="12"/>
      <c r="J37" s="3"/>
      <c r="K37" s="3"/>
    </row>
    <row r="38" spans="1:11" x14ac:dyDescent="0.25">
      <c r="A38" s="77">
        <v>260</v>
      </c>
      <c r="B38" s="78" t="s">
        <v>56</v>
      </c>
      <c r="C38" s="3">
        <f>IFERROR(INDEX('SubDept Single'!G$1:G$100,MATCH('SubDept Sales Report'!A38,'SubDept Single'!A$1:A$100,0)),0)</f>
        <v>1.99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80">
        <f>C38+D38+E54+F54</f>
        <v>1.99</v>
      </c>
      <c r="H38">
        <v>110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5932.04</v>
      </c>
      <c r="D39" s="3">
        <f>IFERROR(INDEX('SubDept Coupon (Local Discount)'!G$1:G$100,MATCH('SubDept Sales Report'!A39,'SubDept Coupon (Local Discount)'!A$1:A$100,0)),0)</f>
        <v>1.69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9">
        <f t="shared" si="0"/>
        <v>5933.73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8468.66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9">
        <f t="shared" si="0"/>
        <v>8468.66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1882.31</v>
      </c>
      <c r="D41" s="3">
        <f>IFERROR(INDEX('SubDept Coupon (Local Discount)'!G$1:G$100,MATCH('SubDept Sales Report'!A41,'SubDept Coupon (Local Discount)'!A$1:A$100,0)),0)</f>
        <v>2.52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9">
        <f t="shared" si="0"/>
        <v>1884.83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2628.48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9">
        <f t="shared" si="0"/>
        <v>2628.48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1962.11</v>
      </c>
      <c r="D43" s="3">
        <f>IFERROR(INDEX('SubDept Coupon (Local Discount)'!G$1:G$100,MATCH('SubDept Sales Report'!A43,'SubDept Coupon (Local Discount)'!A$1:A$100,0)),0)</f>
        <v>1.25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9">
        <f t="shared" si="0"/>
        <v>1963.36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16842.12</v>
      </c>
      <c r="D44" s="3">
        <f>IFERROR(INDEX('SubDept Coupon (Local Discount)'!G$1:G$100,MATCH('SubDept Sales Report'!A44,'SubDept Coupon (Local Discount)'!A$1:A$100,0)),0)</f>
        <v>0.7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9">
        <f t="shared" si="0"/>
        <v>16842.82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1406.92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9">
        <f t="shared" si="0"/>
        <v>1406.92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2854.9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9">
        <f t="shared" si="0"/>
        <v>2854.9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3888.36</v>
      </c>
      <c r="D47" s="3">
        <f>IFERROR(INDEX('SubDept Coupon (Local Discount)'!G$1:G$100,MATCH('SubDept Sales Report'!A47,'SubDept Coupon (Local Discount)'!A$1:A$100,0)),0)</f>
        <v>0.9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9">
        <f t="shared" si="0"/>
        <v>3889.26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56.95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9">
        <f t="shared" si="0"/>
        <v>56.95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79.83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9">
        <f t="shared" si="0"/>
        <v>79.83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106417.07999999997</v>
      </c>
      <c r="D54" s="11">
        <f>SUM(D5:D53)</f>
        <v>86.539999999999992</v>
      </c>
      <c r="E54" s="11">
        <f>SUM(E5:E53)</f>
        <v>0</v>
      </c>
      <c r="F54" s="11">
        <f>SUM(F5:F53)</f>
        <v>0</v>
      </c>
      <c r="G54" s="38">
        <f>SUM(G11:G53,G9,G8,G7,G6,G5)</f>
        <v>107419.73999999999</v>
      </c>
      <c r="I54" s="12"/>
      <c r="J54" s="3"/>
      <c r="K54" s="3"/>
    </row>
  </sheetData>
  <autoFilter ref="A4:G54" xr:uid="{459199FD-0CD3-4C93-B98C-3BA614742282}">
    <filterColumn colId="6">
      <filters>
        <filter val="$(916.12)"/>
        <filter val="$1,051.64"/>
        <filter val="$1,068.46"/>
        <filter val="$1,094.02"/>
        <filter val="$1,406.92"/>
        <filter val="$1,884.83"/>
        <filter val="$1,963.36"/>
        <filter val="$1.99"/>
        <filter val="$10,047.49"/>
        <filter val="$107,419.74"/>
        <filter val="$11,813.11"/>
        <filter val="$16,094.99"/>
        <filter val="$16,842.82"/>
        <filter val="$2,533.91"/>
        <filter val="$2,628.48"/>
        <filter val="$2,753.71"/>
        <filter val="$2,854.90"/>
        <filter val="$3,889.26"/>
        <filter val="$3.25"/>
        <filter val="$385.44"/>
        <filter val="$4,087.83"/>
        <filter val="$416.82"/>
        <filter val="$5,933.73"/>
        <filter val="$56.95"/>
        <filter val="$6.10"/>
        <filter val="$617.00"/>
        <filter val="$79.83"/>
        <filter val="$8,468.66"/>
        <filter val="$8,551.11"/>
        <filter val="$883.13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2026-08-10T15:35:56Z</dcterms:modified>
</cp:coreProperties>
</file>