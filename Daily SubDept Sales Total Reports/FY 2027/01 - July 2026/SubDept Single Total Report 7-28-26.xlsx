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064FC4DA-C55A-47E4-990A-16814E719AB9}" xr6:coauthVersionLast="47" xr6:coauthVersionMax="47" xr10:uidLastSave="{00000000-0000-0000-0000-000000000000}"/>
  <bookViews>
    <workbookView xWindow="-24060" yWindow="-60" windowWidth="24120" windowHeight="129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" i="1" l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10" i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J1" i="1"/>
  <c r="M2" i="1" s="1"/>
  <c r="D54" i="1" l="1"/>
  <c r="J2" i="1" s="1"/>
  <c r="G54" i="1" l="1"/>
  <c r="J3" i="1" s="1"/>
  <c r="C54" i="1"/>
</calcChain>
</file>

<file path=xl/sharedStrings.xml><?xml version="1.0" encoding="utf-8"?>
<sst xmlns="http://schemas.openxmlformats.org/spreadsheetml/2006/main" count="137" uniqueCount="92">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</sst>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</cellStyleXfs>
  <cellXfs count="72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64" fontId="19" fillId="0" borderId="0" xfId="10" applyNumberFormat="1" applyAlignment="1" applyProtection="1">
      <alignment horizontal="righ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167" fontId="19" fillId="0" borderId="0" xfId="10" applyNumberFormat="1" applyAlignment="1" applyProtection="1">
      <alignment horizontal="right" vertical="top"/>
      <protection locked="0"/>
    </xf>
    <xf numFmtId="166" fontId="19" fillId="0" borderId="0" xfId="10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4" fontId="19" fillId="0" borderId="0" xfId="10" applyNumberFormat="1"/>
    <xf numFmtId="1" fontId="0" fillId="2" borderId="0" xfId="0" applyNumberFormat="1" applyFill="1" applyAlignment="1" applyProtection="1">
      <alignment horizontal="center" vertical="top"/>
      <protection locked="0"/>
    </xf>
    <xf numFmtId="0" fontId="0" fillId="2" borderId="0" xfId="0" applyFill="1" applyAlignment="1" applyProtection="1">
      <alignment horizontal="left" vertical="top"/>
      <protection locked="0"/>
    </xf>
    <xf numFmtId="44" fontId="0" fillId="0" borderId="0" xfId="3" applyNumberFormat="1" applyFont="1"/>
    <xf numFmtId="44" fontId="0" fillId="2" borderId="0" xfId="3" applyNumberFormat="1" applyFont="1" applyFill="1"/>
  </cellXfs>
  <cellStyles count="11">
    <cellStyle name="Currency" xfId="3" builtinId="4"/>
    <cellStyle name="Normal" xfId="0" builtinId="0"/>
    <cellStyle name="Normal 10" xfId="10" xr:uid="{D0540EF5-0DBA-4362-9774-C7306318E440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workbookViewId="0">
      <selection sqref="A1:G29"/>
    </sheetView>
  </sheetViews>
  <sheetFormatPr defaultRowHeight="15" x14ac:dyDescent="0.25"/>
  <cols>
    <col min="2" max="2" width="14.7109375" bestFit="1" customWidth="1"/>
  </cols>
  <sheetData>
    <row r="1" spans="1:7" x14ac:dyDescent="0.25">
      <c r="A1" s="57">
        <v>27</v>
      </c>
      <c r="B1" s="58" t="s">
        <v>11</v>
      </c>
      <c r="C1" s="56"/>
      <c r="D1" s="56"/>
      <c r="E1" s="56"/>
      <c r="F1" s="56"/>
      <c r="G1" s="59">
        <v>-439.06</v>
      </c>
    </row>
    <row r="2" spans="1:7" x14ac:dyDescent="0.25">
      <c r="A2" s="57">
        <v>28</v>
      </c>
      <c r="B2" s="58" t="s">
        <v>12</v>
      </c>
      <c r="C2" s="56"/>
      <c r="D2" s="56"/>
      <c r="E2" s="56"/>
      <c r="F2" s="60">
        <v>60</v>
      </c>
      <c r="G2" s="61">
        <v>6</v>
      </c>
    </row>
    <row r="3" spans="1:7" x14ac:dyDescent="0.25">
      <c r="A3" s="57">
        <v>38</v>
      </c>
      <c r="B3" s="58" t="s">
        <v>55</v>
      </c>
      <c r="C3" s="56"/>
      <c r="D3" s="56"/>
      <c r="E3" s="56"/>
      <c r="F3" s="60">
        <v>64</v>
      </c>
      <c r="G3" s="62">
        <v>3.2</v>
      </c>
    </row>
    <row r="4" spans="1:7" x14ac:dyDescent="0.25">
      <c r="A4" s="57">
        <v>110</v>
      </c>
      <c r="B4" s="58" t="s">
        <v>22</v>
      </c>
      <c r="C4" s="56"/>
      <c r="D4" s="56"/>
      <c r="E4" s="56"/>
      <c r="F4" s="60">
        <v>2906</v>
      </c>
      <c r="G4" s="63">
        <v>13971.02</v>
      </c>
    </row>
    <row r="5" spans="1:7" x14ac:dyDescent="0.25">
      <c r="A5" s="57">
        <v>120</v>
      </c>
      <c r="B5" s="58" t="s">
        <v>23</v>
      </c>
      <c r="C5" s="56"/>
      <c r="D5" s="56"/>
      <c r="E5" s="56"/>
      <c r="F5" s="60">
        <v>1924</v>
      </c>
      <c r="G5" s="63">
        <v>9227.64</v>
      </c>
    </row>
    <row r="6" spans="1:7" x14ac:dyDescent="0.25">
      <c r="A6" s="57">
        <v>130</v>
      </c>
      <c r="B6" s="58" t="s">
        <v>24</v>
      </c>
      <c r="C6" s="56"/>
      <c r="D6" s="56"/>
      <c r="E6" s="56"/>
      <c r="F6" s="60">
        <v>424</v>
      </c>
      <c r="G6" s="64">
        <v>2784.79</v>
      </c>
    </row>
    <row r="7" spans="1:7" x14ac:dyDescent="0.25">
      <c r="A7" s="57">
        <v>140</v>
      </c>
      <c r="B7" s="58" t="s">
        <v>25</v>
      </c>
      <c r="C7" s="56"/>
      <c r="D7" s="56"/>
      <c r="E7" s="56"/>
      <c r="F7" s="60">
        <v>1292</v>
      </c>
      <c r="G7" s="64">
        <v>9069.4599999999991</v>
      </c>
    </row>
    <row r="8" spans="1:7" x14ac:dyDescent="0.25">
      <c r="A8" s="57">
        <v>142</v>
      </c>
      <c r="B8" s="58" t="s">
        <v>26</v>
      </c>
      <c r="C8" s="56"/>
      <c r="D8" s="56"/>
      <c r="E8" s="56"/>
      <c r="F8" s="60">
        <v>206</v>
      </c>
      <c r="G8" s="59">
        <v>792.54</v>
      </c>
    </row>
    <row r="9" spans="1:7" x14ac:dyDescent="0.25">
      <c r="A9" s="57">
        <v>150</v>
      </c>
      <c r="B9" s="58" t="s">
        <v>27</v>
      </c>
      <c r="C9" s="56"/>
      <c r="D9" s="56"/>
      <c r="E9" s="56"/>
      <c r="F9" s="60">
        <v>369</v>
      </c>
      <c r="G9" s="64">
        <v>2125.4499999999998</v>
      </c>
    </row>
    <row r="10" spans="1:7" x14ac:dyDescent="0.25">
      <c r="A10" s="57">
        <v>160</v>
      </c>
      <c r="B10" s="58" t="s">
        <v>28</v>
      </c>
      <c r="C10" s="56"/>
      <c r="D10" s="56"/>
      <c r="E10" s="56"/>
      <c r="F10" s="60">
        <v>66</v>
      </c>
      <c r="G10" s="59">
        <v>627.07000000000005</v>
      </c>
    </row>
    <row r="11" spans="1:7" x14ac:dyDescent="0.25">
      <c r="A11" s="57">
        <v>180</v>
      </c>
      <c r="B11" s="58" t="s">
        <v>30</v>
      </c>
      <c r="C11" s="56"/>
      <c r="D11" s="56"/>
      <c r="E11" s="56"/>
      <c r="F11" s="60">
        <v>92</v>
      </c>
      <c r="G11" s="59">
        <v>411.08</v>
      </c>
    </row>
    <row r="12" spans="1:7" x14ac:dyDescent="0.25">
      <c r="A12" s="57">
        <v>190</v>
      </c>
      <c r="B12" s="58" t="s">
        <v>31</v>
      </c>
      <c r="C12" s="56"/>
      <c r="D12" s="56"/>
      <c r="E12" s="56"/>
      <c r="F12" s="60">
        <v>128</v>
      </c>
      <c r="G12" s="59">
        <v>823.72</v>
      </c>
    </row>
    <row r="13" spans="1:7" x14ac:dyDescent="0.25">
      <c r="A13" s="57">
        <v>210</v>
      </c>
      <c r="B13" s="58" t="s">
        <v>32</v>
      </c>
      <c r="C13" s="56"/>
      <c r="D13" s="56"/>
      <c r="E13" s="56"/>
      <c r="F13" s="60">
        <v>1155</v>
      </c>
      <c r="G13" s="64">
        <v>9560.56</v>
      </c>
    </row>
    <row r="14" spans="1:7" x14ac:dyDescent="0.25">
      <c r="A14" s="57">
        <v>220</v>
      </c>
      <c r="B14" s="58" t="s">
        <v>33</v>
      </c>
      <c r="C14" s="56"/>
      <c r="D14" s="56"/>
      <c r="E14" s="56"/>
      <c r="F14" s="60">
        <v>698</v>
      </c>
      <c r="G14" s="64">
        <v>2384.04</v>
      </c>
    </row>
    <row r="15" spans="1:7" x14ac:dyDescent="0.25">
      <c r="A15" s="57">
        <v>235</v>
      </c>
      <c r="B15" s="58" t="s">
        <v>59</v>
      </c>
      <c r="C15" s="56"/>
      <c r="D15" s="56"/>
      <c r="E15" s="56"/>
      <c r="F15" s="60">
        <v>56</v>
      </c>
      <c r="G15" s="61">
        <v>707.94</v>
      </c>
    </row>
    <row r="16" spans="1:7" x14ac:dyDescent="0.25">
      <c r="A16" s="57">
        <v>240</v>
      </c>
      <c r="B16" s="58" t="s">
        <v>35</v>
      </c>
      <c r="C16" s="56"/>
      <c r="D16" s="56"/>
      <c r="E16" s="56"/>
      <c r="F16" s="60">
        <v>211</v>
      </c>
      <c r="G16" s="59">
        <v>791.58</v>
      </c>
    </row>
    <row r="17" spans="1:7" x14ac:dyDescent="0.25">
      <c r="A17" s="57">
        <v>250</v>
      </c>
      <c r="B17" s="58" t="s">
        <v>36</v>
      </c>
      <c r="C17" s="56"/>
      <c r="D17" s="56"/>
      <c r="E17" s="56"/>
      <c r="F17" s="60">
        <v>235</v>
      </c>
      <c r="G17" s="59">
        <v>1283.3599999999999</v>
      </c>
    </row>
    <row r="18" spans="1:7" x14ac:dyDescent="0.25">
      <c r="A18" s="57">
        <v>310</v>
      </c>
      <c r="B18" s="58" t="s">
        <v>37</v>
      </c>
      <c r="C18" s="56"/>
      <c r="D18" s="56"/>
      <c r="E18" s="56"/>
      <c r="F18" s="56">
        <v>718</v>
      </c>
      <c r="G18" s="67">
        <v>4318.7700000000004</v>
      </c>
    </row>
    <row r="19" spans="1:7" x14ac:dyDescent="0.25">
      <c r="A19" s="57">
        <v>320</v>
      </c>
      <c r="B19" s="58" t="s">
        <v>38</v>
      </c>
      <c r="C19" s="56"/>
      <c r="D19" s="56"/>
      <c r="E19" s="56"/>
      <c r="F19" s="60">
        <v>603</v>
      </c>
      <c r="G19" s="64">
        <v>6281.26</v>
      </c>
    </row>
    <row r="20" spans="1:7" x14ac:dyDescent="0.25">
      <c r="A20" s="57">
        <v>330</v>
      </c>
      <c r="B20" s="58" t="s">
        <v>39</v>
      </c>
      <c r="C20" s="56"/>
      <c r="D20" s="56"/>
      <c r="E20" s="56"/>
      <c r="F20" s="60">
        <v>149</v>
      </c>
      <c r="G20" s="64">
        <v>1337.93</v>
      </c>
    </row>
    <row r="21" spans="1:7" x14ac:dyDescent="0.25">
      <c r="A21" s="57">
        <v>340</v>
      </c>
      <c r="B21" s="58" t="s">
        <v>40</v>
      </c>
      <c r="C21" s="56"/>
      <c r="D21" s="56"/>
      <c r="E21" s="56"/>
      <c r="F21" s="60">
        <v>112</v>
      </c>
      <c r="G21" s="64">
        <v>1617.4</v>
      </c>
    </row>
    <row r="22" spans="1:7" x14ac:dyDescent="0.25">
      <c r="A22" s="57">
        <v>350</v>
      </c>
      <c r="B22" s="58" t="s">
        <v>41</v>
      </c>
      <c r="C22" s="56"/>
      <c r="D22" s="56"/>
      <c r="E22" s="56"/>
      <c r="F22" s="60">
        <v>136</v>
      </c>
      <c r="G22" s="64">
        <v>1368.86</v>
      </c>
    </row>
    <row r="23" spans="1:7" x14ac:dyDescent="0.25">
      <c r="A23" s="57">
        <v>410</v>
      </c>
      <c r="B23" s="58" t="s">
        <v>42</v>
      </c>
      <c r="C23" s="56"/>
      <c r="D23" s="56"/>
      <c r="E23" s="56"/>
      <c r="F23" s="60">
        <v>3432</v>
      </c>
      <c r="G23" s="64">
        <v>12548.33</v>
      </c>
    </row>
    <row r="24" spans="1:7" x14ac:dyDescent="0.25">
      <c r="A24" s="57">
        <v>420</v>
      </c>
      <c r="B24" s="58" t="s">
        <v>43</v>
      </c>
      <c r="C24" s="56"/>
      <c r="D24" s="56"/>
      <c r="E24" s="56"/>
      <c r="F24" s="60">
        <v>162</v>
      </c>
      <c r="G24" s="63">
        <v>1049.9000000000001</v>
      </c>
    </row>
    <row r="25" spans="1:7" x14ac:dyDescent="0.25">
      <c r="A25" s="57">
        <v>510</v>
      </c>
      <c r="B25" s="58" t="s">
        <v>44</v>
      </c>
      <c r="C25" s="56"/>
      <c r="D25" s="56"/>
      <c r="E25" s="56"/>
      <c r="F25" s="60">
        <v>279</v>
      </c>
      <c r="G25" s="64">
        <v>2598.7199999999998</v>
      </c>
    </row>
    <row r="26" spans="1:7" x14ac:dyDescent="0.25">
      <c r="A26" s="57">
        <v>520</v>
      </c>
      <c r="B26" s="58" t="s">
        <v>45</v>
      </c>
      <c r="C26" s="56"/>
      <c r="D26" s="56"/>
      <c r="E26" s="56"/>
      <c r="F26" s="60">
        <v>319</v>
      </c>
      <c r="G26" s="64">
        <v>5455.24</v>
      </c>
    </row>
    <row r="27" spans="1:7" x14ac:dyDescent="0.25">
      <c r="A27" s="57">
        <v>550</v>
      </c>
      <c r="B27" s="58" t="s">
        <v>48</v>
      </c>
      <c r="C27" s="56"/>
      <c r="D27" s="56"/>
      <c r="E27" s="56"/>
      <c r="F27" s="60">
        <v>2</v>
      </c>
      <c r="G27" s="64">
        <v>24.94</v>
      </c>
    </row>
    <row r="28" spans="1:7" x14ac:dyDescent="0.25">
      <c r="A28" s="57">
        <v>999</v>
      </c>
      <c r="B28" s="58" t="s">
        <v>50</v>
      </c>
      <c r="C28" s="56"/>
      <c r="D28" s="56"/>
      <c r="E28" s="56"/>
      <c r="F28" s="60">
        <v>1</v>
      </c>
      <c r="G28" s="61">
        <v>3.29</v>
      </c>
    </row>
    <row r="29" spans="1:7" x14ac:dyDescent="0.25">
      <c r="A29" s="57">
        <v>1300</v>
      </c>
      <c r="B29" s="58" t="s">
        <v>51</v>
      </c>
      <c r="C29" s="56"/>
      <c r="D29" s="56"/>
      <c r="E29" s="56"/>
      <c r="F29" s="60">
        <v>23</v>
      </c>
      <c r="G29" s="61">
        <v>79.86</v>
      </c>
    </row>
    <row r="30" spans="1:7" x14ac:dyDescent="0.25">
      <c r="A30" s="50"/>
      <c r="B30" s="51"/>
      <c r="C30" s="49"/>
      <c r="D30" s="49"/>
      <c r="E30" s="49"/>
      <c r="F30" s="52"/>
      <c r="G30" s="54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activeCell="L6" sqref="L6"/>
    </sheetView>
  </sheetViews>
  <sheetFormatPr defaultRowHeight="15" x14ac:dyDescent="0.25"/>
  <sheetData>
    <row r="1" spans="1:7" x14ac:dyDescent="0.25">
      <c r="A1" s="57">
        <v>110</v>
      </c>
      <c r="B1" s="58" t="s">
        <v>22</v>
      </c>
      <c r="C1" s="56"/>
      <c r="D1" s="56"/>
      <c r="E1" s="56"/>
      <c r="F1" s="60">
        <v>23</v>
      </c>
      <c r="G1" s="61">
        <v>12.01</v>
      </c>
    </row>
    <row r="2" spans="1:7" x14ac:dyDescent="0.25">
      <c r="A2" s="57">
        <v>120</v>
      </c>
      <c r="B2" s="58" t="s">
        <v>23</v>
      </c>
      <c r="C2" s="56"/>
      <c r="D2" s="56"/>
      <c r="E2" s="56"/>
      <c r="F2" s="60">
        <v>44</v>
      </c>
      <c r="G2" s="61">
        <v>29.09</v>
      </c>
    </row>
    <row r="3" spans="1:7" x14ac:dyDescent="0.25">
      <c r="A3" s="57">
        <v>130</v>
      </c>
      <c r="B3" s="58" t="s">
        <v>24</v>
      </c>
      <c r="C3" s="56"/>
      <c r="D3" s="56"/>
      <c r="E3" s="56"/>
      <c r="F3" s="60">
        <v>4</v>
      </c>
      <c r="G3" s="62">
        <v>2.42</v>
      </c>
    </row>
    <row r="4" spans="1:7" x14ac:dyDescent="0.25">
      <c r="A4" s="57">
        <v>140</v>
      </c>
      <c r="B4" s="58" t="s">
        <v>25</v>
      </c>
      <c r="C4" s="56"/>
      <c r="D4" s="56"/>
      <c r="E4" s="56"/>
      <c r="F4" s="62">
        <v>4.1100000000000003</v>
      </c>
      <c r="G4" s="62">
        <v>2.38</v>
      </c>
    </row>
    <row r="5" spans="1:7" x14ac:dyDescent="0.25">
      <c r="A5" s="57">
        <v>142</v>
      </c>
      <c r="B5" s="58" t="s">
        <v>26</v>
      </c>
      <c r="C5" s="56"/>
      <c r="D5" s="56"/>
      <c r="E5" s="56"/>
      <c r="F5" s="60">
        <v>138</v>
      </c>
      <c r="G5" s="56"/>
    </row>
    <row r="6" spans="1:7" x14ac:dyDescent="0.25">
      <c r="A6" s="57">
        <v>150</v>
      </c>
      <c r="B6" s="58" t="s">
        <v>27</v>
      </c>
      <c r="C6" s="56"/>
      <c r="D6" s="56"/>
      <c r="E6" s="56"/>
      <c r="F6" s="60">
        <v>42</v>
      </c>
      <c r="G6" s="61">
        <v>14.9</v>
      </c>
    </row>
    <row r="7" spans="1:7" x14ac:dyDescent="0.25">
      <c r="A7" s="57">
        <v>160</v>
      </c>
      <c r="B7" s="58" t="s">
        <v>28</v>
      </c>
      <c r="C7" s="56"/>
      <c r="D7" s="56"/>
      <c r="E7" s="56"/>
      <c r="F7" s="60">
        <v>7</v>
      </c>
      <c r="G7" s="62">
        <v>4.97</v>
      </c>
    </row>
    <row r="8" spans="1:7" x14ac:dyDescent="0.25">
      <c r="A8" s="57">
        <v>210</v>
      </c>
      <c r="B8" s="58" t="s">
        <v>32</v>
      </c>
      <c r="C8" s="56"/>
      <c r="D8" s="56"/>
      <c r="E8" s="56"/>
      <c r="F8" s="60">
        <v>24</v>
      </c>
      <c r="G8" s="56"/>
    </row>
    <row r="9" spans="1:7" x14ac:dyDescent="0.25">
      <c r="A9" s="57">
        <v>220</v>
      </c>
      <c r="B9" s="58" t="s">
        <v>33</v>
      </c>
      <c r="C9" s="56"/>
      <c r="D9" s="56"/>
      <c r="E9" s="56"/>
      <c r="F9" s="60">
        <v>4</v>
      </c>
      <c r="G9" s="62">
        <v>4.5199999999999996</v>
      </c>
    </row>
    <row r="10" spans="1:7" x14ac:dyDescent="0.25">
      <c r="A10" s="57">
        <v>310</v>
      </c>
      <c r="B10" s="58" t="s">
        <v>37</v>
      </c>
      <c r="C10" s="56"/>
      <c r="D10" s="56"/>
      <c r="E10" s="56"/>
      <c r="F10" s="60">
        <v>2</v>
      </c>
      <c r="G10" s="62">
        <v>0.91</v>
      </c>
    </row>
    <row r="11" spans="1:7" x14ac:dyDescent="0.25">
      <c r="A11" s="57">
        <v>330</v>
      </c>
      <c r="B11" s="58" t="s">
        <v>39</v>
      </c>
      <c r="C11" s="56"/>
      <c r="D11" s="56"/>
      <c r="E11" s="56"/>
      <c r="F11" s="60">
        <v>2</v>
      </c>
      <c r="G11" s="62">
        <v>1.88</v>
      </c>
    </row>
    <row r="12" spans="1:7" x14ac:dyDescent="0.25">
      <c r="A12" s="57">
        <v>410</v>
      </c>
      <c r="B12" s="58" t="s">
        <v>42</v>
      </c>
      <c r="C12" s="56"/>
      <c r="D12" s="56"/>
      <c r="E12" s="56"/>
      <c r="F12" s="60">
        <v>5</v>
      </c>
      <c r="G12" s="62">
        <v>1.1200000000000001</v>
      </c>
    </row>
    <row r="13" spans="1:7" x14ac:dyDescent="0.25">
      <c r="A13" s="57">
        <v>510</v>
      </c>
      <c r="B13" s="58" t="s">
        <v>44</v>
      </c>
      <c r="C13" s="56"/>
      <c r="D13" s="56"/>
      <c r="E13" s="56"/>
      <c r="F13" s="60">
        <v>1</v>
      </c>
      <c r="G13" s="62">
        <v>1.91</v>
      </c>
    </row>
    <row r="14" spans="1:7" x14ac:dyDescent="0.25">
      <c r="A14" s="57"/>
      <c r="B14" s="58"/>
      <c r="C14" s="56"/>
      <c r="D14" s="56"/>
      <c r="E14" s="56"/>
      <c r="F14" s="60"/>
      <c r="G14" s="62"/>
    </row>
    <row r="15" spans="1:7" x14ac:dyDescent="0.25">
      <c r="A15" s="57"/>
      <c r="B15" s="58"/>
      <c r="C15" s="56"/>
      <c r="D15" s="56"/>
      <c r="E15" s="56"/>
      <c r="F15" s="60"/>
      <c r="G15" s="62"/>
    </row>
    <row r="16" spans="1:7" x14ac:dyDescent="0.25">
      <c r="A16" s="50"/>
      <c r="B16" s="51"/>
      <c r="C16" s="49"/>
      <c r="D16" s="49"/>
      <c r="E16" s="49"/>
      <c r="F16" s="52"/>
      <c r="G16" s="53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65"/>
      <c r="B9" s="65"/>
      <c r="C9" s="65"/>
      <c r="D9" s="65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65"/>
      <c r="B12" s="65"/>
      <c r="C12" s="65"/>
      <c r="D12" s="65"/>
      <c r="E12" s="65"/>
      <c r="F12" s="65"/>
      <c r="G12" s="65"/>
      <c r="H12" s="65"/>
    </row>
    <row r="13" spans="1:8" ht="15" customHeight="1" x14ac:dyDescent="0.25">
      <c r="A13" s="65"/>
      <c r="B13" s="65"/>
      <c r="C13" s="65"/>
      <c r="D13" s="65"/>
      <c r="E13" s="65"/>
      <c r="F13" s="22"/>
      <c r="G13" s="25"/>
    </row>
    <row r="14" spans="1:8" x14ac:dyDescent="0.25">
      <c r="A14" s="22"/>
    </row>
    <row r="15" spans="1:8" x14ac:dyDescent="0.25">
      <c r="A15" s="65"/>
      <c r="B15" s="65"/>
      <c r="C15" s="65"/>
      <c r="D15" s="65"/>
      <c r="E15" s="65"/>
      <c r="F15" s="65"/>
      <c r="G15" s="65"/>
      <c r="H15" s="65"/>
    </row>
    <row r="16" spans="1:8" ht="15" customHeight="1" x14ac:dyDescent="0.25">
      <c r="A16" s="65"/>
      <c r="B16" s="65"/>
      <c r="C16" s="65"/>
      <c r="D16" s="65"/>
      <c r="E16" s="65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65"/>
      <c r="B544" s="65"/>
      <c r="C544" s="65"/>
      <c r="D544" s="65"/>
      <c r="E544" s="65"/>
      <c r="F544" s="65"/>
      <c r="G544" s="65"/>
      <c r="H544" s="65"/>
    </row>
    <row r="545" spans="1:8" ht="15" customHeight="1" x14ac:dyDescent="0.25">
      <c r="A545" s="65"/>
      <c r="B545" s="65"/>
      <c r="C545" s="65"/>
      <c r="D545" s="65"/>
      <c r="E545" s="65"/>
      <c r="F545" s="22"/>
      <c r="G545" s="25"/>
    </row>
    <row r="546" spans="1:8" x14ac:dyDescent="0.25">
      <c r="A546" s="22"/>
    </row>
    <row r="547" spans="1:8" x14ac:dyDescent="0.25">
      <c r="A547" s="65"/>
      <c r="B547" s="65"/>
      <c r="C547" s="65"/>
      <c r="D547" s="65"/>
      <c r="E547" s="65"/>
      <c r="F547" s="65"/>
      <c r="G547" s="65"/>
      <c r="H547" s="65"/>
    </row>
    <row r="548" spans="1:8" ht="15" customHeight="1" x14ac:dyDescent="0.25">
      <c r="A548" s="65"/>
      <c r="B548" s="65"/>
      <c r="C548" s="65"/>
      <c r="D548" s="65"/>
      <c r="E548" s="65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65"/>
      <c r="B729" s="65"/>
      <c r="C729" s="65"/>
      <c r="D729" s="65"/>
      <c r="E729" s="65"/>
      <c r="F729" s="65"/>
      <c r="G729" s="65"/>
      <c r="H729" s="65"/>
    </row>
    <row r="730" spans="1:8" ht="15" customHeight="1" x14ac:dyDescent="0.25">
      <c r="A730" s="65"/>
      <c r="B730" s="65"/>
      <c r="C730" s="65"/>
      <c r="D730" s="65"/>
      <c r="E730" s="65"/>
      <c r="F730" s="22"/>
      <c r="G730" s="25"/>
    </row>
    <row r="731" spans="1:8" x14ac:dyDescent="0.25">
      <c r="A731" s="22"/>
    </row>
    <row r="732" spans="1:8" x14ac:dyDescent="0.25">
      <c r="A732" s="65"/>
      <c r="B732" s="65"/>
      <c r="C732" s="65"/>
      <c r="D732" s="65"/>
      <c r="E732" s="65"/>
      <c r="F732" s="65"/>
      <c r="G732" s="65"/>
      <c r="H732" s="65"/>
    </row>
    <row r="733" spans="1:8" ht="15" customHeight="1" x14ac:dyDescent="0.25">
      <c r="A733" s="65"/>
      <c r="B733" s="65"/>
      <c r="C733" s="65"/>
      <c r="D733" s="65"/>
      <c r="E733" s="65"/>
      <c r="F733" s="22"/>
      <c r="G733" s="25"/>
      <c r="H733" s="22"/>
    </row>
  </sheetData>
  <mergeCells count="13">
    <mergeCell ref="A729:H729"/>
    <mergeCell ref="A730:E730"/>
    <mergeCell ref="A732:H732"/>
    <mergeCell ref="A733:E733"/>
    <mergeCell ref="A544:H544"/>
    <mergeCell ref="A545:E545"/>
    <mergeCell ref="A547:H547"/>
    <mergeCell ref="A548:E548"/>
    <mergeCell ref="A16:E16"/>
    <mergeCell ref="A9:D9"/>
    <mergeCell ref="A12:H12"/>
    <mergeCell ref="A13:E13"/>
    <mergeCell ref="A15:H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O27" sqref="O27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66" t="s">
        <v>0</v>
      </c>
      <c r="B1" s="66"/>
      <c r="C1" s="66"/>
      <c r="D1" s="66"/>
      <c r="E1" s="66"/>
      <c r="F1" s="66"/>
      <c r="G1" s="66"/>
      <c r="I1" s="17" t="s">
        <v>54</v>
      </c>
      <c r="J1" s="18">
        <f>G10</f>
        <v>-439.06</v>
      </c>
      <c r="L1" s="39" t="s">
        <v>88</v>
      </c>
      <c r="M1" s="40">
        <f>8+32+6</f>
        <v>46</v>
      </c>
      <c r="O1" s="45" t="s">
        <v>7</v>
      </c>
      <c r="P1" s="46"/>
    </row>
    <row r="2" spans="1:16" ht="18.75" x14ac:dyDescent="0.4">
      <c r="A2" s="66"/>
      <c r="B2" s="66"/>
      <c r="C2" s="66"/>
      <c r="D2" s="66"/>
      <c r="E2" s="66"/>
      <c r="F2" s="66"/>
      <c r="G2" s="66"/>
      <c r="I2" s="13" t="s">
        <v>60</v>
      </c>
      <c r="J2" s="14">
        <f>D54*-1</f>
        <v>-76.11</v>
      </c>
      <c r="L2" s="41" t="s">
        <v>61</v>
      </c>
      <c r="M2" s="39">
        <f>J1+M1</f>
        <v>-393.06</v>
      </c>
      <c r="O2" s="45" t="s">
        <v>91</v>
      </c>
      <c r="P2" s="46"/>
    </row>
    <row r="3" spans="1:16" ht="18.75" x14ac:dyDescent="0.4">
      <c r="A3" s="66"/>
      <c r="B3" s="66"/>
      <c r="C3" s="66"/>
      <c r="D3" s="66"/>
      <c r="E3" s="66"/>
      <c r="F3" s="66"/>
      <c r="G3" s="66"/>
      <c r="I3" s="15" t="s">
        <v>53</v>
      </c>
      <c r="J3" s="16">
        <f>G54+J1+J2</f>
        <v>90814.89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-439.06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70">
        <f>C10+D10</f>
        <v>-439.06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6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70">
        <f t="shared" si="0"/>
        <v>6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3.2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70">
        <f t="shared" si="0"/>
        <v>3.2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13971.02</v>
      </c>
      <c r="D22" s="3">
        <f>IFERROR(INDEX('SubDept Coupon (Local Discount)'!G$1:G$100,MATCH('SubDept Sales Report'!A22,'SubDept Coupon (Local Discount)'!A$1:A$100,0)),0)</f>
        <v>12.01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70">
        <f t="shared" si="0"/>
        <v>13983.03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9227.64</v>
      </c>
      <c r="D23" s="3">
        <f>IFERROR(INDEX('SubDept Coupon (Local Discount)'!G$1:G$100,MATCH('SubDept Sales Report'!A23,'SubDept Coupon (Local Discount)'!A$1:A$100,0)),0)</f>
        <v>29.09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70">
        <f t="shared" si="0"/>
        <v>9256.73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2784.79</v>
      </c>
      <c r="D24" s="3">
        <f>IFERROR(INDEX('SubDept Coupon (Local Discount)'!G$1:G$100,MATCH('SubDept Sales Report'!A24,'SubDept Coupon (Local Discount)'!A$1:A$100,0)),0)</f>
        <v>2.42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70">
        <f t="shared" si="0"/>
        <v>2787.21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9069.4599999999991</v>
      </c>
      <c r="D25" s="3">
        <f>IFERROR(INDEX('SubDept Coupon (Local Discount)'!G$1:G$100,MATCH('SubDept Sales Report'!A25,'SubDept Coupon (Local Discount)'!A$1:A$100,0)),0)</f>
        <v>2.38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70">
        <f t="shared" si="0"/>
        <v>9071.8399999999983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792.54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70">
        <f t="shared" si="0"/>
        <v>792.54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2125.4499999999998</v>
      </c>
      <c r="D27" s="3">
        <f>IFERROR(INDEX('SubDept Coupon (Local Discount)'!G$1:G$100,MATCH('SubDept Sales Report'!A27,'SubDept Coupon (Local Discount)'!A$1:A$100,0)),0)</f>
        <v>14.9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70">
        <f t="shared" si="0"/>
        <v>2140.35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627.07000000000005</v>
      </c>
      <c r="D28" s="3">
        <f>IFERROR(INDEX('SubDept Coupon (Local Discount)'!G$1:G$100,MATCH('SubDept Sales Report'!A28,'SubDept Coupon (Local Discount)'!A$1:A$100,0)),0)</f>
        <v>4.97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70">
        <f t="shared" si="0"/>
        <v>632.04000000000008</v>
      </c>
      <c r="I28" s="12"/>
      <c r="J28" s="3"/>
      <c r="K28" s="3"/>
    </row>
    <row r="29" spans="1:11" hidden="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0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37">
        <f t="shared" si="0"/>
        <v>0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411.08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70">
        <f t="shared" si="0"/>
        <v>411.08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823.72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70">
        <f t="shared" si="0"/>
        <v>823.72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9560.56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70">
        <f t="shared" si="0"/>
        <v>9560.56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2384.04</v>
      </c>
      <c r="D33" s="3">
        <f>IFERROR(INDEX('SubDept Coupon (Local Discount)'!G$1:G$100,MATCH('SubDept Sales Report'!A33,'SubDept Coupon (Local Discount)'!A$1:A$100,0)),0)</f>
        <v>4.5199999999999996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70">
        <f t="shared" si="0"/>
        <v>2388.56</v>
      </c>
      <c r="K33" s="3"/>
    </row>
    <row r="34" spans="1:11" hidden="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0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0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707.94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70">
        <f t="shared" si="0"/>
        <v>707.94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791.58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70">
        <f t="shared" si="0"/>
        <v>791.58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1283.3599999999999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70">
        <f t="shared" si="0"/>
        <v>1283.3599999999999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4318.7700000000004</v>
      </c>
      <c r="D39" s="3">
        <f>IFERROR(INDEX('SubDept Coupon (Local Discount)'!G$1:G$100,MATCH('SubDept Sales Report'!A39,'SubDept Coupon (Local Discount)'!A$1:A$100,0)),0)</f>
        <v>0.91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70">
        <f t="shared" si="0"/>
        <v>4319.68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6281.26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70">
        <f t="shared" si="0"/>
        <v>6281.26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1337.93</v>
      </c>
      <c r="D41" s="3">
        <f>IFERROR(INDEX('SubDept Coupon (Local Discount)'!G$1:G$100,MATCH('SubDept Sales Report'!A41,'SubDept Coupon (Local Discount)'!A$1:A$100,0)),0)</f>
        <v>1.88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70">
        <f t="shared" si="0"/>
        <v>1339.8100000000002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1617.4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70">
        <f t="shared" si="0"/>
        <v>1617.4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1368.86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70">
        <f t="shared" si="0"/>
        <v>1368.86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12548.33</v>
      </c>
      <c r="D44" s="3">
        <f>IFERROR(INDEX('SubDept Coupon (Local Discount)'!G$1:G$100,MATCH('SubDept Sales Report'!A44,'SubDept Coupon (Local Discount)'!A$1:A$100,0)),0)</f>
        <v>1.1200000000000001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70">
        <f t="shared" si="0"/>
        <v>12549.45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1049.9000000000001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70">
        <f t="shared" si="0"/>
        <v>1049.9000000000001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2598.7199999999998</v>
      </c>
      <c r="D46" s="3">
        <f>IFERROR(INDEX('SubDept Coupon (Local Discount)'!G$1:G$100,MATCH('SubDept Sales Report'!A46,'SubDept Coupon (Local Discount)'!A$1:A$100,0)),0)</f>
        <v>1.91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70">
        <f t="shared" si="0"/>
        <v>2600.6299999999997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5455.24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70">
        <f t="shared" si="0"/>
        <v>5455.24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24.94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70">
        <f t="shared" si="0"/>
        <v>24.94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x14ac:dyDescent="0.25">
      <c r="A52" s="68">
        <v>999</v>
      </c>
      <c r="B52" s="69" t="s">
        <v>50</v>
      </c>
      <c r="C52" s="3">
        <f>IFERROR(INDEX('SubDept Single'!G$1:G$100,MATCH('SubDept Sales Report'!A52,'SubDept Single'!A$1:A$100,0)),0)</f>
        <v>3.29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71">
        <f t="shared" si="0"/>
        <v>3.29</v>
      </c>
      <c r="H52">
        <v>110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79.86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70">
        <f t="shared" si="0"/>
        <v>79.86</v>
      </c>
      <c r="I53" s="12"/>
      <c r="J53" s="3"/>
      <c r="K53" s="3"/>
    </row>
    <row r="54" spans="1:11" x14ac:dyDescent="0.25">
      <c r="B54" s="19" t="s">
        <v>52</v>
      </c>
      <c r="C54" s="3">
        <f>SUM(C5:C53)</f>
        <v>90814.89</v>
      </c>
      <c r="D54" s="11">
        <f>SUM(D5:D53)</f>
        <v>76.11</v>
      </c>
      <c r="E54" s="11">
        <f>SUM(E5:E53)</f>
        <v>0</v>
      </c>
      <c r="F54" s="11">
        <f>SUM(F5:F53)</f>
        <v>0</v>
      </c>
      <c r="G54" s="38">
        <f>SUM(G11:G53,G9,G8,G7,G6,G5)</f>
        <v>91330.06</v>
      </c>
      <c r="I54" s="12"/>
      <c r="J54" s="3"/>
      <c r="K54" s="3"/>
    </row>
  </sheetData>
  <autoFilter ref="A4:G54" xr:uid="{459199FD-0CD3-4C93-B98C-3BA614742282}">
    <filterColumn colId="6">
      <filters>
        <filter val="$91,330.06"/>
        <filter val="1049.9"/>
        <filter val="12549.45"/>
        <filter val="1283.36"/>
        <filter val="1339.81"/>
        <filter val="1368.86"/>
        <filter val="13983.03"/>
        <filter val="1617.4"/>
        <filter val="2140.35"/>
        <filter val="2388.56"/>
        <filter val="24.94"/>
        <filter val="2600.63"/>
        <filter val="2787.21"/>
        <filter val="3.2"/>
        <filter val="3.29"/>
        <filter val="411.08"/>
        <filter val="4319.68"/>
        <filter val="-439.06"/>
        <filter val="5455.24"/>
        <filter val="6"/>
        <filter val="6281.26"/>
        <filter val="632.04"/>
        <filter val="707.94"/>
        <filter val="79.86"/>
        <filter val="791.58"/>
        <filter val="792.54"/>
        <filter val="823.72"/>
        <filter val="9071.84"/>
        <filter val="9256.73"/>
        <filter val="9560.56"/>
      </filters>
    </filterColumn>
  </autoFilter>
  <dataConsolidate/>
  <mergeCells count="1">
    <mergeCell ref="A1:G3"/>
  </mergeCells>
  <pageMargins left="0.7" right="0.7" top="0.75" bottom="0.75" header="0.3" footer="0.3"/>
  <pageSetup scale="5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2026-07-29T14:09:07Z</dcterms:modified>
</cp:coreProperties>
</file>