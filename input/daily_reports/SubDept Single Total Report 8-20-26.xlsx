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2C04789C-A483-457D-9B12-758FC43F322D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  <sheet name="82026 discounts" sheetId="11" r:id="rId10"/>
    <sheet name="82026 bs" sheetId="12" r:id="rId11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<sst xmlns="http://schemas.openxmlformats.org/spreadsheetml/2006/main" count="311" uniqueCount="191">
  <si>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</si>
  <si>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</si>
  <si>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</si>
  <si>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</si>
  <si>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</si>
  <si>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</si>
  <si>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</si>
  <si>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</si>
  <si>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</si>
  <si>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</si>
  <si>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</si>
  <si>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</si>
  <si>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</si>
  <si>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</si>
  <si>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</si>
  <si>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</si>
  <si>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</si>
  <si>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</si>
  <si>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</si>
  <si>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</si>
  <si>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</si>
  <si>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</si>
  <si>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</si>
  <si>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</si>
  <si>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</si>
  <si>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</si>
  <si>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</si>
  <si>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</si>
  <si>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</si>
  <si>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</si>
  <si>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</si>
  <si>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</si>
  <si>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</si>
  <si>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</si>
  <si>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</si>
  <si>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</si>
  <si>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</si>
  <si>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</si>
  <si>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</si>
  <si>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</si>
  <si>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</si>
  <si>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</si>
  <si>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</si>
  <si>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</si>
  <si>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</si>
  <si>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</si>
  <si>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</si>
  <si>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</si>
  <si>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</si>
  <si>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</si>
  <si>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</si>
  <si>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</si>
  <si>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</si>
  <si>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</si>
  <si>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</si>
  <si>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</si>
  <si>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</si>
  <si>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</si>
  <si>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</si>
  <si>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</si>
  <si>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</si>
  <si>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</si>
  <si>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</si>
  <si>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</si>
  <si>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</si>
  <si>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</si>
  <si>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</si>
  <si>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</si>
  <si>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</si>
  <si>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</si>
  <si>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</si>
  <si>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</si>
  <si>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</si>
  <si>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</si>
  <si>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</si>
  <si>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</si>
  <si>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</si>
  <si>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</si>
  <si>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</si>
  <si>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</si>
  <si>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</si>
  <si>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</si>
  <si>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</si>
  <si>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</si>
  <si>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</si>
  <si>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</si>
  <si>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</si>
  <si>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</si>
  <si>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</si>
  <si>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</si>
  <si>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</si>
  <si>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</si>
  <si>
    <t>Page 1</t>
  </si>
  <si>
    <t>8/21/2026 10:57:14 AM</t>
  </si>
  <si>
    <t>Printed :</t>
  </si>
  <si>
    <t>HONEST WEIGHT FOOD</t>
  </si>
  <si>
    <t>Member Discounts</t>
  </si>
  <si>
    <t>Grand Total</t>
  </si>
  <si>
    <t>Non Profit</t>
  </si>
  <si>
    <t>Vendor/Business</t>
  </si>
  <si>
    <t>Visiting Co-op</t>
  </si>
  <si>
    <t>Employee</t>
  </si>
  <si>
    <t>Weekly Worker</t>
  </si>
  <si>
    <t>Monthly Worker</t>
  </si>
  <si>
    <t>Senior Share</t>
  </si>
  <si>
    <t>Senior NonMember</t>
  </si>
  <si>
    <t>Shareholder</t>
  </si>
  <si>
    <t>Other</t>
  </si>
  <si>
    <t>Amount</t>
  </si>
  <si>
    <t>Qty</t>
  </si>
  <si>
    <t>Description</t>
  </si>
  <si>
    <t>Report all</t>
  </si>
  <si>
    <t>RAL</t>
  </si>
  <si>
    <t xml:space="preserve">Target: </t>
  </si>
  <si>
    <t>8/20/2026</t>
  </si>
  <si>
    <t>to</t>
  </si>
  <si>
    <t xml:space="preserve">Date: </t>
  </si>
  <si>
    <t>Discounts by Shopper Level</t>
  </si>
  <si>
    <t>Page 3</t>
  </si>
  <si>
    <t>8/21/2026 10:57:30 AM</t>
  </si>
  <si>
    <t>TL Debit/Credit :</t>
  </si>
  <si>
    <t>Credit</t>
  </si>
  <si>
    <t>Debit</t>
  </si>
  <si>
    <t>Balance</t>
  </si>
  <si>
    <t>Target: RAL Report all</t>
  </si>
  <si>
    <t>Date: 8/20/2026 to 8/20/2026</t>
  </si>
  <si>
    <t>Store Balance Sheet</t>
  </si>
  <si>
    <t>Page 2</t>
  </si>
  <si>
    <t>=</t>
  </si>
  <si>
    <t>Pick Up</t>
  </si>
  <si>
    <t>D</t>
  </si>
  <si>
    <t>PkUp Bottle return</t>
  </si>
  <si>
    <t>PkUp Milk Bottle Return</t>
  </si>
  <si>
    <t>PkUp Vendor coupon</t>
  </si>
  <si>
    <t>PkUp Charge</t>
  </si>
  <si>
    <t>PkUp Prepaid card/voucher</t>
  </si>
  <si>
    <t>PkUp Discover</t>
  </si>
  <si>
    <t>PkUp American Express</t>
  </si>
  <si>
    <t>PkUp Master</t>
  </si>
  <si>
    <t>PkUp Visa</t>
  </si>
  <si>
    <t>PkUp DUFB Spend</t>
  </si>
  <si>
    <t>PkUp EBT Food Stamps</t>
  </si>
  <si>
    <t>PkUp EBT Cash</t>
  </si>
  <si>
    <t>PkUp Debit card</t>
  </si>
  <si>
    <t>PkUp Donation</t>
  </si>
  <si>
    <t>PkUp Check</t>
  </si>
  <si>
    <t>PkUp Cash</t>
  </si>
  <si>
    <t>Revenue</t>
  </si>
  <si>
    <t>Bottle return</t>
  </si>
  <si>
    <t>Milk Bottle Return</t>
  </si>
  <si>
    <t>Rev. Vendor coupon</t>
  </si>
  <si>
    <t>Rev. Charge</t>
  </si>
  <si>
    <t>Rev. Prepaid card/voucher</t>
  </si>
  <si>
    <t>Rev. Discover</t>
  </si>
  <si>
    <t>Rev. American Express</t>
  </si>
  <si>
    <t>Rev. Master</t>
  </si>
  <si>
    <t>Rev. Visa</t>
  </si>
  <si>
    <t>Rev. DUFB Spend</t>
  </si>
  <si>
    <t>Rev. EBT Food Stamps</t>
  </si>
  <si>
    <t>Rev. EBT Cash</t>
  </si>
  <si>
    <t>Rev. Debit card</t>
  </si>
  <si>
    <t>Rev. Donation</t>
  </si>
  <si>
    <t>Rev. Check</t>
  </si>
  <si>
    <t>Rev. Cash</t>
  </si>
  <si>
    <t>Received</t>
  </si>
  <si>
    <t>C</t>
  </si>
  <si>
    <t>Prepaid increase</t>
  </si>
  <si>
    <t>Nickel Round Up/Down</t>
  </si>
  <si>
    <t>Charity</t>
  </si>
  <si>
    <t>Plus</t>
  </si>
  <si>
    <t>Milk Bottle fee</t>
  </si>
  <si>
    <t>Bottle sales</t>
  </si>
  <si>
    <t>Taxes</t>
  </si>
  <si>
    <t>Tax 3</t>
  </si>
  <si>
    <t>Tax 2</t>
  </si>
  <si>
    <t>Tax 1</t>
  </si>
  <si>
    <t>Global Discount</t>
  </si>
  <si>
    <t>Sales</t>
  </si>
  <si>
    <t>Net Sales</t>
  </si>
  <si>
    <t>Coupon distribution</t>
  </si>
  <si>
    <t>STORE SUPPLIES</t>
  </si>
  <si>
    <t>STORE COUPONS</t>
  </si>
  <si>
    <t>PREPARED FOODS (DELI)</t>
  </si>
  <si>
    <t>MEAT &amp; FISH</t>
  </si>
  <si>
    <t>MISC. TRANSACTIONS</t>
  </si>
  <si>
    <t>WELLNESS</t>
  </si>
  <si>
    <t>PROMO</t>
  </si>
  <si>
    <t>CHEESE TOTAL</t>
  </si>
  <si>
    <t>GROCERY TOTAL</t>
  </si>
  <si>
    <t>PRODUCE TOTAL</t>
  </si>
  <si>
    <t>BULK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</si>
</sst>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69" formatCode="00000.00"/>
    <numFmt numFmtId="170" formatCode="0,000,000.00"/>
    <numFmt numFmtId="171" formatCode="000,000.00"/>
    <numFmt numFmtId="172" formatCode="0000.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  <font>
      <b/>
      <sz val="8"/>
      <color indexed="8"/>
      <name val="Arial"/>
    </font>
    <font>
      <b/>
      <sz val="10"/>
      <color indexed="8"/>
      <name val="Arial"/>
    </font>
    <font>
      <sz val="12"/>
      <color indexed="8"/>
      <name val="Arial"/>
    </font>
    <font>
      <i/>
      <sz val="16"/>
      <color indexed="8"/>
      <name val="Verdana"/>
    </font>
    <font>
      <b/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96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0" fontId="5" fillId="0" borderId="0" xfId="1"/>
    <xf numFmtId="1" fontId="4" fillId="0" borderId="0" xfId="1" applyNumberFormat="1" applyFont="1" applyAlignment="1" applyProtection="1">
      <alignment horizontal="left" vertical="top"/>
      <protection locked="0"/>
    </xf>
    <xf numFmtId="0" fontId="4" fillId="0" borderId="0" xfId="1" applyFont="1" applyAlignment="1" applyProtection="1">
      <alignment horizontal="left" vertical="top"/>
      <protection locked="0"/>
    </xf>
    <xf numFmtId="1" fontId="5" fillId="0" borderId="0" xfId="1" applyNumberFormat="1" applyAlignment="1" applyProtection="1">
      <alignment horizontal="right" vertical="top"/>
      <protection locked="0"/>
    </xf>
    <xf numFmtId="2" fontId="5" fillId="0" borderId="0" xfId="1" applyNumberFormat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Alignment="1" applyProtection="1">
      <alignment horizontal="left" vertical="top"/>
      <protection locked="0"/>
    </xf>
    <xf numFmtId="0" fontId="22" fillId="0" borderId="0" xfId="11" applyFont="1" applyAlignment="1" applyProtection="1">
      <alignment horizontal="left" vertical="top"/>
      <protection locked="0"/>
    </xf>
    <xf numFmtId="164" fontId="21" fillId="0" borderId="0" xfId="11" applyNumberFormat="1" applyAlignment="1" applyProtection="1">
      <alignment horizontal="right" vertical="top"/>
      <protection locked="0"/>
    </xf>
    <xf numFmtId="1" fontId="21" fillId="0" borderId="0" xfId="11" applyNumberFormat="1" applyAlignment="1" applyProtection="1">
      <alignment horizontal="right" vertical="top"/>
      <protection locked="0"/>
    </xf>
    <xf numFmtId="2" fontId="21" fillId="0" borderId="0" xfId="11" applyNumberFormat="1" applyAlignment="1" applyProtection="1">
      <alignment horizontal="right" vertical="top"/>
      <protection locked="0"/>
    </xf>
    <xf numFmtId="167" fontId="21" fillId="0" borderId="0" xfId="11" applyNumberFormat="1" applyAlignment="1" applyProtection="1">
      <alignment horizontal="right" vertical="top"/>
      <protection locked="0"/>
    </xf>
    <xf numFmtId="166" fontId="21" fillId="0" borderId="0" xfId="11" applyNumberFormat="1" applyAlignment="1" applyProtection="1">
      <alignment horizontal="right" vertical="top"/>
      <protection locked="0"/>
    </xf>
    <xf numFmtId="165" fontId="21" fillId="0" borderId="0" xfId="11" applyNumberFormat="1" applyAlignment="1" applyProtection="1">
      <alignment horizontal="right" vertical="top"/>
      <protection locked="0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3" fillId="0" borderId="0" xfId="11" applyFont="1" applyAlignment="1" applyProtection="1">
      <alignment horizontal="left" vertical="top"/>
      <protection locked="0"/>
    </xf>
    <xf numFmtId="166" fontId="24" fillId="0" borderId="0" xfId="11" applyNumberFormat="1" applyFont="1" applyAlignment="1" applyProtection="1">
      <alignment horizontal="right" vertical="top"/>
      <protection locked="0"/>
    </xf>
    <xf numFmtId="1" fontId="24" fillId="0" borderId="0" xfId="11" applyNumberFormat="1" applyFont="1" applyAlignment="1" applyProtection="1">
      <alignment horizontal="right" vertical="top"/>
      <protection locked="0"/>
    </xf>
    <xf numFmtId="0" fontId="24" fillId="0" borderId="0" xfId="11" applyFont="1" applyAlignment="1" applyProtection="1">
      <alignment horizontal="left" vertical="top"/>
      <protection locked="0"/>
    </xf>
    <xf numFmtId="1" fontId="25" fillId="0" borderId="0" xfId="11" applyNumberFormat="1" applyFont="1" applyAlignment="1" applyProtection="1">
      <alignment horizontal="left" vertical="top"/>
      <protection locked="0"/>
    </xf>
    <xf numFmtId="0" fontId="25" fillId="0" borderId="0" xfId="11" applyFont="1" applyAlignment="1" applyProtection="1">
      <alignment horizontal="left" vertical="top"/>
      <protection locked="0"/>
    </xf>
    <xf numFmtId="0" fontId="24" fillId="0" borderId="0" xfId="11" applyFont="1" applyAlignment="1" applyProtection="1">
      <alignment horizontal="right" vertical="top"/>
      <protection locked="0"/>
    </xf>
    <xf numFmtId="0" fontId="21" fillId="0" borderId="0" xfId="11" applyAlignment="1" applyProtection="1">
      <alignment horizontal="left" vertical="top"/>
      <protection locked="0"/>
    </xf>
    <xf numFmtId="0" fontId="24" fillId="0" borderId="0" xfId="11" applyFont="1" applyAlignment="1" applyProtection="1">
      <alignment horizontal="center" vertical="top"/>
      <protection locked="0"/>
    </xf>
    <xf numFmtId="0" fontId="26" fillId="0" borderId="0" xfId="11" applyFont="1" applyAlignment="1" applyProtection="1">
      <alignment horizontal="left" vertical="top"/>
      <protection locked="0"/>
    </xf>
    <xf numFmtId="169" fontId="24" fillId="0" borderId="0" xfId="11" applyNumberFormat="1" applyFont="1" applyAlignment="1" applyProtection="1">
      <alignment horizontal="right" vertical="top"/>
      <protection locked="0"/>
    </xf>
    <xf numFmtId="0" fontId="27" fillId="0" borderId="0" xfId="11" applyFont="1" applyAlignment="1" applyProtection="1">
      <alignment horizontal="right" vertical="top"/>
      <protection locked="0"/>
    </xf>
    <xf numFmtId="167" fontId="24" fillId="0" borderId="0" xfId="11" applyNumberFormat="1" applyFont="1" applyAlignment="1" applyProtection="1">
      <alignment horizontal="right" vertical="top"/>
      <protection locked="0"/>
    </xf>
    <xf numFmtId="170" fontId="24" fillId="0" borderId="0" xfId="11" applyNumberFormat="1" applyFont="1" applyAlignment="1" applyProtection="1">
      <alignment horizontal="right" vertical="top"/>
      <protection locked="0"/>
    </xf>
    <xf numFmtId="1" fontId="21" fillId="0" borderId="0" xfId="11" applyNumberFormat="1" applyAlignment="1" applyProtection="1">
      <alignment horizontal="left" vertical="top"/>
      <protection locked="0"/>
    </xf>
    <xf numFmtId="171" fontId="24" fillId="0" borderId="0" xfId="11" applyNumberFormat="1" applyFont="1" applyAlignment="1" applyProtection="1">
      <alignment horizontal="right" vertical="top"/>
      <protection locked="0"/>
    </xf>
    <xf numFmtId="164" fontId="24" fillId="0" borderId="0" xfId="11" applyNumberFormat="1" applyFont="1" applyAlignment="1" applyProtection="1">
      <alignment horizontal="right" vertical="top"/>
      <protection locked="0"/>
    </xf>
    <xf numFmtId="169" fontId="21" fillId="0" borderId="0" xfId="11" applyNumberFormat="1" applyAlignment="1" applyProtection="1">
      <alignment horizontal="right" vertical="top"/>
      <protection locked="0"/>
    </xf>
    <xf numFmtId="172" fontId="21" fillId="0" borderId="0" xfId="11" applyNumberFormat="1" applyAlignment="1" applyProtection="1">
      <alignment horizontal="right" vertical="top"/>
      <protection locked="0"/>
    </xf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967E63DB-699E-4B04-A3FE-ED030D036F03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8"/>
    </sheetView>
  </sheetViews>
  <sheetFormatPr defaultRowHeight="15" x14ac:dyDescent="0.25"/>
  <cols>
    <col min="2" max="2" width="14.7109375" bestFit="1" customWidth="1"/>
  </cols>
  <sheetData>
    <row r="1" spans="1:7" x14ac:dyDescent="0.25">
      <c r="A1" s="67">
        <v>27</v>
      </c>
      <c r="B1" s="68" t="s">
        <v>11</v>
      </c>
      <c r="C1" s="66"/>
      <c r="D1" s="66"/>
      <c r="E1" s="66"/>
      <c r="F1" s="66"/>
      <c r="G1" s="69">
        <v>-684.02</v>
      </c>
    </row>
    <row r="2" spans="1:7" x14ac:dyDescent="0.25">
      <c r="A2" s="67">
        <v>28</v>
      </c>
      <c r="B2" s="68" t="s">
        <v>12</v>
      </c>
      <c r="C2" s="66"/>
      <c r="D2" s="66"/>
      <c r="E2" s="66"/>
      <c r="F2" s="70">
        <v>61</v>
      </c>
      <c r="G2" s="71">
        <v>6.1</v>
      </c>
    </row>
    <row r="3" spans="1:7" x14ac:dyDescent="0.25">
      <c r="A3" s="67">
        <v>38</v>
      </c>
      <c r="B3" s="68" t="s">
        <v>55</v>
      </c>
      <c r="C3" s="66"/>
      <c r="D3" s="66"/>
      <c r="E3" s="66"/>
      <c r="F3" s="70">
        <v>69</v>
      </c>
      <c r="G3" s="71">
        <v>3.45</v>
      </c>
    </row>
    <row r="4" spans="1:7" x14ac:dyDescent="0.25">
      <c r="A4" s="67">
        <v>110</v>
      </c>
      <c r="B4" s="68" t="s">
        <v>22</v>
      </c>
      <c r="C4" s="66"/>
      <c r="D4" s="66"/>
      <c r="E4" s="66"/>
      <c r="F4" s="70">
        <v>2885</v>
      </c>
      <c r="G4" s="72">
        <v>12743.11</v>
      </c>
    </row>
    <row r="5" spans="1:7" x14ac:dyDescent="0.25">
      <c r="A5" s="67">
        <v>120</v>
      </c>
      <c r="B5" s="68" t="s">
        <v>23</v>
      </c>
      <c r="C5" s="66"/>
      <c r="D5" s="66"/>
      <c r="E5" s="66"/>
      <c r="F5" s="70">
        <v>1903</v>
      </c>
      <c r="G5" s="73">
        <v>9256.64</v>
      </c>
    </row>
    <row r="6" spans="1:7" x14ac:dyDescent="0.25">
      <c r="A6" s="67">
        <v>130</v>
      </c>
      <c r="B6" s="68" t="s">
        <v>24</v>
      </c>
      <c r="C6" s="66"/>
      <c r="D6" s="66"/>
      <c r="E6" s="66"/>
      <c r="F6" s="70">
        <v>418</v>
      </c>
      <c r="G6" s="73">
        <v>2723.74</v>
      </c>
    </row>
    <row r="7" spans="1:7" x14ac:dyDescent="0.25">
      <c r="A7" s="67">
        <v>140</v>
      </c>
      <c r="B7" s="68" t="s">
        <v>25</v>
      </c>
      <c r="C7" s="66"/>
      <c r="D7" s="66"/>
      <c r="E7" s="66"/>
      <c r="F7" s="70">
        <v>1193</v>
      </c>
      <c r="G7" s="73">
        <v>8090.18</v>
      </c>
    </row>
    <row r="8" spans="1:7" x14ac:dyDescent="0.25">
      <c r="A8" s="67">
        <v>142</v>
      </c>
      <c r="B8" s="68" t="s">
        <v>26</v>
      </c>
      <c r="C8" s="66"/>
      <c r="D8" s="66"/>
      <c r="E8" s="66"/>
      <c r="F8" s="70">
        <v>178</v>
      </c>
      <c r="G8" s="69">
        <v>859.01</v>
      </c>
    </row>
    <row r="9" spans="1:7" x14ac:dyDescent="0.25">
      <c r="A9" s="67">
        <v>150</v>
      </c>
      <c r="B9" s="68" t="s">
        <v>27</v>
      </c>
      <c r="C9" s="66"/>
      <c r="D9" s="66"/>
      <c r="E9" s="66"/>
      <c r="F9" s="70">
        <v>383</v>
      </c>
      <c r="G9" s="73">
        <v>2216.58</v>
      </c>
    </row>
    <row r="10" spans="1:7" x14ac:dyDescent="0.25">
      <c r="A10" s="67">
        <v>160</v>
      </c>
      <c r="B10" s="68" t="s">
        <v>28</v>
      </c>
      <c r="C10" s="66"/>
      <c r="D10" s="66"/>
      <c r="E10" s="66"/>
      <c r="F10" s="70">
        <v>81</v>
      </c>
      <c r="G10" s="69">
        <v>799.54</v>
      </c>
    </row>
    <row r="11" spans="1:7" x14ac:dyDescent="0.25">
      <c r="A11" s="67">
        <v>180</v>
      </c>
      <c r="B11" s="68" t="s">
        <v>30</v>
      </c>
      <c r="C11" s="66"/>
      <c r="D11" s="66"/>
      <c r="E11" s="66"/>
      <c r="F11" s="70">
        <v>44</v>
      </c>
      <c r="G11" s="69">
        <v>253.56</v>
      </c>
    </row>
    <row r="12" spans="1:7" x14ac:dyDescent="0.25">
      <c r="A12" s="67">
        <v>190</v>
      </c>
      <c r="B12" s="68" t="s">
        <v>31</v>
      </c>
      <c r="C12" s="66"/>
      <c r="D12" s="66"/>
      <c r="E12" s="66"/>
      <c r="F12" s="70">
        <v>126</v>
      </c>
      <c r="G12" s="69">
        <v>882.84</v>
      </c>
    </row>
    <row r="13" spans="1:7" x14ac:dyDescent="0.25">
      <c r="A13" s="67">
        <v>210</v>
      </c>
      <c r="B13" s="68" t="s">
        <v>32</v>
      </c>
      <c r="C13" s="66"/>
      <c r="D13" s="66"/>
      <c r="E13" s="66"/>
      <c r="F13" s="70">
        <v>1110</v>
      </c>
      <c r="G13" s="73">
        <v>9533.9</v>
      </c>
    </row>
    <row r="14" spans="1:7" x14ac:dyDescent="0.25">
      <c r="A14" s="67">
        <v>220</v>
      </c>
      <c r="B14" s="68" t="s">
        <v>33</v>
      </c>
      <c r="C14" s="66"/>
      <c r="D14" s="66"/>
      <c r="E14" s="66"/>
      <c r="F14" s="70">
        <v>703</v>
      </c>
      <c r="G14" s="73">
        <v>2394.98</v>
      </c>
    </row>
    <row r="15" spans="1:7" x14ac:dyDescent="0.25">
      <c r="A15" s="67">
        <v>230</v>
      </c>
      <c r="B15" s="68" t="s">
        <v>34</v>
      </c>
      <c r="C15" s="66"/>
      <c r="D15" s="66"/>
      <c r="E15" s="66"/>
      <c r="F15" s="70">
        <v>13</v>
      </c>
      <c r="G15" s="69">
        <v>455.73</v>
      </c>
    </row>
    <row r="16" spans="1:7" x14ac:dyDescent="0.25">
      <c r="A16" s="67">
        <v>235</v>
      </c>
      <c r="B16" s="68" t="s">
        <v>59</v>
      </c>
      <c r="C16" s="66"/>
      <c r="D16" s="66"/>
      <c r="E16" s="66"/>
      <c r="F16" s="70">
        <v>119</v>
      </c>
      <c r="G16" s="69">
        <v>953.65</v>
      </c>
    </row>
    <row r="17" spans="1:7" x14ac:dyDescent="0.25">
      <c r="A17" s="67">
        <v>240</v>
      </c>
      <c r="B17" s="68" t="s">
        <v>35</v>
      </c>
      <c r="C17" s="66"/>
      <c r="D17" s="66"/>
      <c r="E17" s="66"/>
      <c r="F17" s="70">
        <v>201</v>
      </c>
      <c r="G17" s="69">
        <v>660.65</v>
      </c>
    </row>
    <row r="18" spans="1:7" x14ac:dyDescent="0.25">
      <c r="A18" s="67">
        <v>250</v>
      </c>
      <c r="B18" s="68" t="s">
        <v>36</v>
      </c>
      <c r="C18" s="66"/>
      <c r="D18" s="66"/>
      <c r="E18" s="66"/>
      <c r="F18" s="70">
        <v>176</v>
      </c>
      <c r="G18" s="73">
        <v>1001.45</v>
      </c>
    </row>
    <row r="19" spans="1:7" x14ac:dyDescent="0.25">
      <c r="A19" s="67">
        <v>310</v>
      </c>
      <c r="B19" s="68" t="s">
        <v>37</v>
      </c>
      <c r="C19" s="66"/>
      <c r="D19" s="66"/>
      <c r="E19" s="66"/>
      <c r="F19" s="70">
        <v>768</v>
      </c>
      <c r="G19" s="73">
        <v>4255.6899999999996</v>
      </c>
    </row>
    <row r="20" spans="1:7" x14ac:dyDescent="0.25">
      <c r="A20" s="67">
        <v>320</v>
      </c>
      <c r="B20" s="68" t="s">
        <v>38</v>
      </c>
      <c r="C20" s="66"/>
      <c r="D20" s="66"/>
      <c r="E20" s="66"/>
      <c r="F20" s="70">
        <v>614</v>
      </c>
      <c r="G20" s="73">
        <v>6581.59</v>
      </c>
    </row>
    <row r="21" spans="1:7" x14ac:dyDescent="0.25">
      <c r="A21" s="67">
        <v>330</v>
      </c>
      <c r="B21" s="68" t="s">
        <v>39</v>
      </c>
      <c r="C21" s="66"/>
      <c r="D21" s="66"/>
      <c r="E21" s="66"/>
      <c r="F21" s="70">
        <v>176</v>
      </c>
      <c r="G21" s="73">
        <v>1507.2</v>
      </c>
    </row>
    <row r="22" spans="1:7" x14ac:dyDescent="0.25">
      <c r="A22" s="67">
        <v>340</v>
      </c>
      <c r="B22" s="68" t="s">
        <v>40</v>
      </c>
      <c r="C22" s="66"/>
      <c r="D22" s="66"/>
      <c r="E22" s="66"/>
      <c r="F22" s="70">
        <v>128</v>
      </c>
      <c r="G22" s="73">
        <v>1743.24</v>
      </c>
    </row>
    <row r="23" spans="1:7" x14ac:dyDescent="0.25">
      <c r="A23" s="67">
        <v>350</v>
      </c>
      <c r="B23" s="68" t="s">
        <v>41</v>
      </c>
      <c r="C23" s="66"/>
      <c r="D23" s="66"/>
      <c r="E23" s="66"/>
      <c r="F23" s="70">
        <v>117</v>
      </c>
      <c r="G23" s="73">
        <v>1036.6300000000001</v>
      </c>
    </row>
    <row r="24" spans="1:7" x14ac:dyDescent="0.25">
      <c r="A24" s="67">
        <v>410</v>
      </c>
      <c r="B24" s="68" t="s">
        <v>42</v>
      </c>
      <c r="C24" s="66"/>
      <c r="D24" s="66"/>
      <c r="E24" s="66"/>
      <c r="F24" s="70">
        <v>3343</v>
      </c>
      <c r="G24" s="72">
        <v>11352.31</v>
      </c>
    </row>
    <row r="25" spans="1:7" x14ac:dyDescent="0.25">
      <c r="A25" s="67">
        <v>420</v>
      </c>
      <c r="B25" s="68" t="s">
        <v>43</v>
      </c>
      <c r="C25" s="66"/>
      <c r="D25" s="66"/>
      <c r="E25" s="66"/>
      <c r="F25" s="70">
        <v>158</v>
      </c>
      <c r="G25" s="69">
        <v>873.56</v>
      </c>
    </row>
    <row r="26" spans="1:7" x14ac:dyDescent="0.25">
      <c r="A26" s="67">
        <v>510</v>
      </c>
      <c r="B26" s="68" t="s">
        <v>44</v>
      </c>
      <c r="C26" s="66"/>
      <c r="D26" s="66"/>
      <c r="E26" s="66"/>
      <c r="F26" s="70">
        <v>280</v>
      </c>
      <c r="G26" s="73">
        <v>2292.9699999999998</v>
      </c>
    </row>
    <row r="27" spans="1:7" x14ac:dyDescent="0.25">
      <c r="A27" s="67">
        <v>520</v>
      </c>
      <c r="B27" s="68" t="s">
        <v>45</v>
      </c>
      <c r="C27" s="66"/>
      <c r="D27" s="66"/>
      <c r="E27" s="66"/>
      <c r="F27" s="70">
        <v>288</v>
      </c>
      <c r="G27" s="73">
        <v>5161.2</v>
      </c>
    </row>
    <row r="28" spans="1:7" x14ac:dyDescent="0.25">
      <c r="A28" s="67">
        <v>1300</v>
      </c>
      <c r="B28" s="68" t="s">
        <v>51</v>
      </c>
      <c r="C28" s="66"/>
      <c r="D28" s="66"/>
      <c r="E28" s="66"/>
      <c r="F28" s="70">
        <v>25</v>
      </c>
      <c r="G28" s="69">
        <v>158.84</v>
      </c>
    </row>
    <row r="29" spans="1:7" x14ac:dyDescent="0.25">
      <c r="A29" s="57"/>
      <c r="B29" s="58"/>
      <c r="C29" s="56"/>
      <c r="D29" s="56"/>
      <c r="E29" s="56"/>
      <c r="F29" s="59"/>
      <c r="G29" s="60"/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67">
        <v>110</v>
      </c>
      <c r="B1" s="68" t="s">
        <v>22</v>
      </c>
      <c r="C1" s="66"/>
      <c r="D1" s="66"/>
      <c r="E1" s="66"/>
      <c r="F1" s="70">
        <v>16</v>
      </c>
      <c r="G1" s="71">
        <v>6.42</v>
      </c>
    </row>
    <row r="2" spans="1:7" x14ac:dyDescent="0.25">
      <c r="A2" s="67">
        <v>120</v>
      </c>
      <c r="B2" s="68" t="s">
        <v>23</v>
      </c>
      <c r="C2" s="66"/>
      <c r="D2" s="66"/>
      <c r="E2" s="66"/>
      <c r="F2" s="70">
        <v>38</v>
      </c>
      <c r="G2" s="74">
        <v>20.2</v>
      </c>
    </row>
    <row r="3" spans="1:7" x14ac:dyDescent="0.25">
      <c r="A3" s="67">
        <v>130</v>
      </c>
      <c r="B3" s="68" t="s">
        <v>24</v>
      </c>
      <c r="C3" s="66"/>
      <c r="D3" s="66"/>
      <c r="E3" s="66"/>
      <c r="F3" s="70">
        <v>4</v>
      </c>
      <c r="G3" s="71">
        <v>3.11</v>
      </c>
    </row>
    <row r="4" spans="1:7" x14ac:dyDescent="0.25">
      <c r="A4" s="67">
        <v>140</v>
      </c>
      <c r="B4" s="68" t="s">
        <v>25</v>
      </c>
      <c r="C4" s="66"/>
      <c r="D4" s="66"/>
      <c r="E4" s="66"/>
      <c r="F4" s="70">
        <v>2</v>
      </c>
      <c r="G4" s="71">
        <v>0.85</v>
      </c>
    </row>
    <row r="5" spans="1:7" x14ac:dyDescent="0.25">
      <c r="A5" s="67">
        <v>142</v>
      </c>
      <c r="B5" s="68" t="s">
        <v>26</v>
      </c>
      <c r="C5" s="66"/>
      <c r="D5" s="66"/>
      <c r="E5" s="66"/>
      <c r="F5" s="70">
        <v>135</v>
      </c>
      <c r="G5" s="66"/>
    </row>
    <row r="6" spans="1:7" x14ac:dyDescent="0.25">
      <c r="A6" s="67">
        <v>150</v>
      </c>
      <c r="B6" s="68" t="s">
        <v>27</v>
      </c>
      <c r="C6" s="66"/>
      <c r="D6" s="66"/>
      <c r="E6" s="66"/>
      <c r="F6" s="70">
        <v>34</v>
      </c>
      <c r="G6" s="74">
        <v>13.62</v>
      </c>
    </row>
    <row r="7" spans="1:7" x14ac:dyDescent="0.25">
      <c r="A7" s="67">
        <v>160</v>
      </c>
      <c r="B7" s="68" t="s">
        <v>28</v>
      </c>
      <c r="C7" s="66"/>
      <c r="D7" s="66"/>
      <c r="E7" s="66"/>
      <c r="F7" s="70">
        <v>13</v>
      </c>
      <c r="G7" s="71">
        <v>6.65</v>
      </c>
    </row>
    <row r="8" spans="1:7" x14ac:dyDescent="0.25">
      <c r="A8" s="67">
        <v>210</v>
      </c>
      <c r="B8" s="68" t="s">
        <v>32</v>
      </c>
      <c r="C8" s="66"/>
      <c r="D8" s="66"/>
      <c r="E8" s="66"/>
      <c r="F8" s="70">
        <v>16</v>
      </c>
      <c r="G8" s="66"/>
    </row>
    <row r="9" spans="1:7" x14ac:dyDescent="0.25">
      <c r="A9" s="67">
        <v>220</v>
      </c>
      <c r="B9" s="68" t="s">
        <v>33</v>
      </c>
      <c r="C9" s="66"/>
      <c r="D9" s="66"/>
      <c r="E9" s="66"/>
      <c r="F9" s="70">
        <v>2</v>
      </c>
      <c r="G9" s="71">
        <v>1.78</v>
      </c>
    </row>
    <row r="10" spans="1:7" x14ac:dyDescent="0.25">
      <c r="A10" s="67">
        <v>310</v>
      </c>
      <c r="B10" s="68" t="s">
        <v>37</v>
      </c>
      <c r="C10" s="66"/>
      <c r="D10" s="66"/>
      <c r="E10" s="66"/>
      <c r="F10" s="70">
        <v>4</v>
      </c>
      <c r="G10" s="71">
        <v>2.23</v>
      </c>
    </row>
    <row r="11" spans="1:7" x14ac:dyDescent="0.25">
      <c r="A11" s="67">
        <v>320</v>
      </c>
      <c r="B11" s="68" t="s">
        <v>38</v>
      </c>
      <c r="C11" s="66"/>
      <c r="D11" s="66"/>
      <c r="E11" s="66"/>
      <c r="F11" s="70">
        <v>12</v>
      </c>
      <c r="G11" s="66"/>
    </row>
    <row r="12" spans="1:7" x14ac:dyDescent="0.25">
      <c r="A12" s="67">
        <v>330</v>
      </c>
      <c r="B12" s="68" t="s">
        <v>39</v>
      </c>
      <c r="C12" s="66"/>
      <c r="D12" s="66"/>
      <c r="E12" s="66"/>
      <c r="F12" s="70">
        <v>4</v>
      </c>
      <c r="G12" s="71">
        <v>5.5</v>
      </c>
    </row>
    <row r="13" spans="1:7" x14ac:dyDescent="0.25">
      <c r="A13" s="67">
        <v>410</v>
      </c>
      <c r="B13" s="68" t="s">
        <v>42</v>
      </c>
      <c r="C13" s="66"/>
      <c r="D13" s="66"/>
      <c r="E13" s="66"/>
      <c r="F13" s="70">
        <v>5</v>
      </c>
      <c r="G13" s="71">
        <v>1.45</v>
      </c>
    </row>
    <row r="14" spans="1:7" x14ac:dyDescent="0.25">
      <c r="A14" s="67">
        <v>510</v>
      </c>
      <c r="B14" s="68" t="s">
        <v>44</v>
      </c>
      <c r="C14" s="66"/>
      <c r="D14" s="66"/>
      <c r="E14" s="66"/>
      <c r="F14" s="70">
        <v>1</v>
      </c>
      <c r="G14" s="71">
        <v>0.17</v>
      </c>
    </row>
    <row r="15" spans="1:7" x14ac:dyDescent="0.25">
      <c r="A15" s="67">
        <v>520</v>
      </c>
      <c r="B15" s="68" t="s">
        <v>45</v>
      </c>
      <c r="C15" s="66"/>
      <c r="D15" s="66"/>
      <c r="E15" s="66"/>
      <c r="F15" s="70">
        <v>1</v>
      </c>
      <c r="G15" s="71">
        <v>1.35</v>
      </c>
    </row>
    <row r="16" spans="1:7" x14ac:dyDescent="0.25">
      <c r="A16" s="62"/>
      <c r="B16" s="63"/>
      <c r="C16" s="61"/>
      <c r="D16" s="61"/>
      <c r="E16" s="61"/>
      <c r="F16" s="64"/>
      <c r="G16" s="65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76"/>
      <c r="B9" s="76"/>
      <c r="C9" s="76"/>
      <c r="D9" s="76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76"/>
      <c r="B12" s="76"/>
      <c r="C12" s="76"/>
      <c r="D12" s="76"/>
      <c r="E12" s="76"/>
      <c r="F12" s="76"/>
      <c r="G12" s="76"/>
      <c r="H12" s="76"/>
    </row>
    <row r="13" spans="1:8" ht="15" customHeight="1" x14ac:dyDescent="0.25">
      <c r="A13" s="76"/>
      <c r="B13" s="76"/>
      <c r="C13" s="76"/>
      <c r="D13" s="76"/>
      <c r="E13" s="76"/>
      <c r="F13" s="22"/>
      <c r="G13" s="25"/>
    </row>
    <row r="14" spans="1:8" x14ac:dyDescent="0.25">
      <c r="A14" s="22"/>
    </row>
    <row r="15" spans="1:8" x14ac:dyDescent="0.25">
      <c r="A15" s="76"/>
      <c r="B15" s="76"/>
      <c r="C15" s="76"/>
      <c r="D15" s="76"/>
      <c r="E15" s="76"/>
      <c r="F15" s="76"/>
      <c r="G15" s="76"/>
      <c r="H15" s="76"/>
    </row>
    <row r="16" spans="1:8" ht="15" customHeight="1" x14ac:dyDescent="0.25">
      <c r="A16" s="76"/>
      <c r="B16" s="76"/>
      <c r="C16" s="76"/>
      <c r="D16" s="76"/>
      <c r="E16" s="76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76"/>
      <c r="B544" s="76"/>
      <c r="C544" s="76"/>
      <c r="D544" s="76"/>
      <c r="E544" s="76"/>
      <c r="F544" s="76"/>
      <c r="G544" s="76"/>
      <c r="H544" s="76"/>
    </row>
    <row r="545" spans="1:8" ht="15" customHeight="1" x14ac:dyDescent="0.25">
      <c r="A545" s="76"/>
      <c r="B545" s="76"/>
      <c r="C545" s="76"/>
      <c r="D545" s="76"/>
      <c r="E545" s="76"/>
      <c r="F545" s="22"/>
      <c r="G545" s="25"/>
    </row>
    <row r="546" spans="1:8" x14ac:dyDescent="0.25">
      <c r="A546" s="22"/>
    </row>
    <row r="547" spans="1:8" x14ac:dyDescent="0.25">
      <c r="A547" s="76"/>
      <c r="B547" s="76"/>
      <c r="C547" s="76"/>
      <c r="D547" s="76"/>
      <c r="E547" s="76"/>
      <c r="F547" s="76"/>
      <c r="G547" s="76"/>
      <c r="H547" s="76"/>
    </row>
    <row r="548" spans="1:8" ht="15" customHeight="1" x14ac:dyDescent="0.25">
      <c r="A548" s="76"/>
      <c r="B548" s="76"/>
      <c r="C548" s="76"/>
      <c r="D548" s="76"/>
      <c r="E548" s="7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76"/>
      <c r="B729" s="76"/>
      <c r="C729" s="76"/>
      <c r="D729" s="76"/>
      <c r="E729" s="76"/>
      <c r="F729" s="76"/>
      <c r="G729" s="76"/>
      <c r="H729" s="76"/>
    </row>
    <row r="730" spans="1:8" ht="15" customHeight="1" x14ac:dyDescent="0.25">
      <c r="A730" s="76"/>
      <c r="B730" s="76"/>
      <c r="C730" s="76"/>
      <c r="D730" s="76"/>
      <c r="E730" s="76"/>
      <c r="F730" s="22"/>
      <c r="G730" s="25"/>
    </row>
    <row r="731" spans="1:8" x14ac:dyDescent="0.25">
      <c r="A731" s="22"/>
    </row>
    <row r="732" spans="1:8" x14ac:dyDescent="0.25">
      <c r="A732" s="76"/>
      <c r="B732" s="76"/>
      <c r="C732" s="76"/>
      <c r="D732" s="76"/>
      <c r="E732" s="76"/>
      <c r="F732" s="76"/>
      <c r="G732" s="76"/>
      <c r="H732" s="76"/>
    </row>
    <row r="733" spans="1:8" ht="15" customHeight="1" x14ac:dyDescent="0.25">
      <c r="A733" s="76"/>
      <c r="B733" s="76"/>
      <c r="C733" s="76"/>
      <c r="D733" s="76"/>
      <c r="E733" s="76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O24" sqref="O24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75" t="s">
        <v>0</v>
      </c>
      <c r="B1" s="75"/>
      <c r="C1" s="75"/>
      <c r="D1" s="75"/>
      <c r="E1" s="75"/>
      <c r="F1" s="75"/>
      <c r="G1" s="75"/>
      <c r="I1" s="17" t="s">
        <v>54</v>
      </c>
      <c r="J1" s="18">
        <f>G10</f>
        <v>-684.02</v>
      </c>
      <c r="L1" s="39" t="s">
        <v>88</v>
      </c>
      <c r="M1" s="40">
        <f>28+8+18+24</f>
        <v>78</v>
      </c>
      <c r="O1" s="45" t="s">
        <v>7</v>
      </c>
      <c r="P1" s="46">
        <v>13.31</v>
      </c>
    </row>
    <row r="2" spans="1:16" ht="18.75" x14ac:dyDescent="0.4">
      <c r="A2" s="75"/>
      <c r="B2" s="75"/>
      <c r="C2" s="75"/>
      <c r="D2" s="75"/>
      <c r="E2" s="75"/>
      <c r="F2" s="75"/>
      <c r="G2" s="75"/>
      <c r="I2" s="13" t="s">
        <v>60</v>
      </c>
      <c r="J2" s="14">
        <f>D54*-1</f>
        <v>-63.33</v>
      </c>
      <c r="L2" s="41" t="s">
        <v>61</v>
      </c>
      <c r="M2" s="39">
        <f>J1+M1</f>
        <v>-606.02</v>
      </c>
      <c r="O2" s="45" t="s">
        <v>91</v>
      </c>
      <c r="P2" s="46">
        <v>0</v>
      </c>
    </row>
    <row r="3" spans="1:16" ht="18.75" x14ac:dyDescent="0.4">
      <c r="A3" s="75"/>
      <c r="B3" s="75"/>
      <c r="C3" s="75"/>
      <c r="D3" s="75"/>
      <c r="E3" s="75"/>
      <c r="F3" s="75"/>
      <c r="G3" s="75"/>
      <c r="I3" s="15" t="s">
        <v>53</v>
      </c>
      <c r="J3" s="16">
        <f>G54+J1+J2</f>
        <v>87114.319999999992</v>
      </c>
      <c r="O3" s="45" t="s">
        <v>89</v>
      </c>
      <c r="P3" s="55">
        <v>0.75</v>
      </c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14.06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-684.02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-684.02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6.1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6.1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3.45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3.45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12743.11</v>
      </c>
      <c r="D22" s="3">
        <f>IFERROR(INDEX('SubDept Coupon (Local Discount)'!G$1:G$100,MATCH('SubDept Sales Report'!A22,'SubDept Coupon (Local Discount)'!A$1:A$100,0)),0)</f>
        <v>6.42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12749.53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9256.64</v>
      </c>
      <c r="D23" s="3">
        <f>IFERROR(INDEX('SubDept Coupon (Local Discount)'!G$1:G$100,MATCH('SubDept Sales Report'!A23,'SubDept Coupon (Local Discount)'!A$1:A$100,0)),0)</f>
        <v>20.2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9276.84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2723.74</v>
      </c>
      <c r="D24" s="3">
        <f>IFERROR(INDEX('SubDept Coupon (Local Discount)'!G$1:G$100,MATCH('SubDept Sales Report'!A24,'SubDept Coupon (Local Discount)'!A$1:A$100,0)),0)</f>
        <v>3.11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2726.85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8090.18</v>
      </c>
      <c r="D25" s="3">
        <f>IFERROR(INDEX('SubDept Coupon (Local Discount)'!G$1:G$100,MATCH('SubDept Sales Report'!A25,'SubDept Coupon (Local Discount)'!A$1:A$100,0)),0)</f>
        <v>0.85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8091.0300000000007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859.01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859.01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2216.58</v>
      </c>
      <c r="D27" s="3">
        <f>IFERROR(INDEX('SubDept Coupon (Local Discount)'!G$1:G$100,MATCH('SubDept Sales Report'!A27,'SubDept Coupon (Local Discount)'!A$1:A$100,0)),0)</f>
        <v>13.62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2230.1999999999998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799.54</v>
      </c>
      <c r="D28" s="3">
        <f>IFERROR(INDEX('SubDept Coupon (Local Discount)'!G$1:G$100,MATCH('SubDept Sales Report'!A28,'SubDept Coupon (Local Discount)'!A$1:A$100,0)),0)</f>
        <v>6.65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806.18999999999994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253.56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253.56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882.84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882.84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9533.9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9533.9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2394.98</v>
      </c>
      <c r="D33" s="3">
        <f>IFERROR(INDEX('SubDept Coupon (Local Discount)'!G$1:G$100,MATCH('SubDept Sales Report'!A33,'SubDept Coupon (Local Discount)'!A$1:A$100,0)),0)</f>
        <v>1.78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2396.7600000000002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455.73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455.73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953.65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953.65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660.65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660.65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1001.45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1001.45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4255.6899999999996</v>
      </c>
      <c r="D39" s="3">
        <f>IFERROR(INDEX('SubDept Coupon (Local Discount)'!G$1:G$100,MATCH('SubDept Sales Report'!A39,'SubDept Coupon (Local Discount)'!A$1:A$100,0)),0)</f>
        <v>2.23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4257.9199999999992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6581.59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6581.59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1507.2</v>
      </c>
      <c r="D41" s="3">
        <f>IFERROR(INDEX('SubDept Coupon (Local Discount)'!G$1:G$100,MATCH('SubDept Sales Report'!A41,'SubDept Coupon (Local Discount)'!A$1:A$100,0)),0)</f>
        <v>5.5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1512.7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1743.24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1743.24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1036.6300000000001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1036.6300000000001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11352.31</v>
      </c>
      <c r="D44" s="3">
        <f>IFERROR(INDEX('SubDept Coupon (Local Discount)'!G$1:G$100,MATCH('SubDept Sales Report'!A44,'SubDept Coupon (Local Discount)'!A$1:A$100,0)),0)</f>
        <v>1.45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11353.76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873.56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873.56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2292.9699999999998</v>
      </c>
      <c r="D46" s="3">
        <f>IFERROR(INDEX('SubDept Coupon (Local Discount)'!G$1:G$100,MATCH('SubDept Sales Report'!A46,'SubDept Coupon (Local Discount)'!A$1:A$100,0)),0)</f>
        <v>0.17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2293.14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5161.2</v>
      </c>
      <c r="D47" s="3">
        <f>IFERROR(INDEX('SubDept Coupon (Local Discount)'!G$1:G$100,MATCH('SubDept Sales Report'!A47,'SubDept Coupon (Local Discount)'!A$1:A$100,0)),0)</f>
        <v>1.35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5162.55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hidden="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0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0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158.84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158.84</v>
      </c>
      <c r="I53" s="12"/>
      <c r="J53" s="3"/>
      <c r="K53" s="3"/>
    </row>
    <row r="54" spans="1:11" x14ac:dyDescent="0.25">
      <c r="B54" s="19" t="s">
        <v>52</v>
      </c>
      <c r="C54" s="3">
        <f>SUM(C5:C53)</f>
        <v>87114.32</v>
      </c>
      <c r="D54" s="11">
        <f>SUM(D5:D53)</f>
        <v>63.33</v>
      </c>
      <c r="E54" s="11">
        <f>SUM(E5:E53)</f>
        <v>0</v>
      </c>
      <c r="F54" s="11">
        <f>SUM(F5:F53)</f>
        <v>0</v>
      </c>
      <c r="G54" s="38">
        <f>SUM(G11:G53,G9,G8,G7,G6,G5)</f>
        <v>87861.67</v>
      </c>
      <c r="I54" s="12"/>
      <c r="J54" s="3"/>
      <c r="K54" s="3"/>
    </row>
  </sheetData>
  <autoFilter ref="A4:G54" xr:uid="{459199FD-0CD3-4C93-B98C-3BA614742282}">
    <filterColumn colId="6">
      <filters>
        <filter val="$(684.02)"/>
        <filter val="$1,001.45"/>
        <filter val="$1,036.63"/>
        <filter val="$1,512.70"/>
        <filter val="$1,743.24"/>
        <filter val="$11,353.76"/>
        <filter val="$12,749.53"/>
        <filter val="$158.84"/>
        <filter val="$2,230.20"/>
        <filter val="$2,293.14"/>
        <filter val="$2,396.76"/>
        <filter val="$2,726.85"/>
        <filter val="$253.56"/>
        <filter val="$3.45"/>
        <filter val="$4,257.92"/>
        <filter val="$455.73"/>
        <filter val="$5,162.55"/>
        <filter val="$6,581.59"/>
        <filter val="$6.10"/>
        <filter val="$660.65"/>
        <filter val="$8,091.03"/>
        <filter val="$806.19"/>
        <filter val="$859.01"/>
        <filter val="$87,861.67"/>
        <filter val="$873.56"/>
        <filter val="$882.84"/>
        <filter val="$9,276.84"/>
        <filter val="$9,533.90"/>
        <filter val="$953.6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F852-1228-4592-A974-28E63CBF325D}">
  <dimension ref="A1:L16"/>
  <sheetViews>
    <sheetView workbookViewId="0"/>
  </sheetViews>
  <sheetFormatPr defaultRowHeight="12.75" x14ac:dyDescent="0.2"/>
  <cols>
    <col min="1" max="16384" width="9.140625" style="66"/>
  </cols>
  <sheetData>
    <row r="1" spans="1:12" ht="19.5" x14ac:dyDescent="0.2">
      <c r="A1" s="86" t="s">
        <v>117</v>
      </c>
    </row>
    <row r="2" spans="1:12" x14ac:dyDescent="0.2">
      <c r="A2" s="84" t="s">
        <v>116</v>
      </c>
      <c r="B2" s="85" t="s">
        <v>114</v>
      </c>
      <c r="C2" s="84" t="s">
        <v>115</v>
      </c>
      <c r="D2" s="85" t="s">
        <v>114</v>
      </c>
    </row>
    <row r="3" spans="1:12" x14ac:dyDescent="0.2">
      <c r="A3" s="84" t="s">
        <v>113</v>
      </c>
      <c r="B3" s="80" t="s">
        <v>112</v>
      </c>
      <c r="C3" s="80" t="s">
        <v>111</v>
      </c>
    </row>
    <row r="4" spans="1:12" x14ac:dyDescent="0.2">
      <c r="C4" s="83" t="s">
        <v>110</v>
      </c>
      <c r="I4" s="83" t="s">
        <v>109</v>
      </c>
      <c r="J4" s="83" t="s">
        <v>108</v>
      </c>
      <c r="K4" s="83" t="s">
        <v>107</v>
      </c>
    </row>
    <row r="5" spans="1:12" ht="15" x14ac:dyDescent="0.2">
      <c r="A5" s="82" t="s">
        <v>106</v>
      </c>
      <c r="D5" s="81">
        <v>2</v>
      </c>
      <c r="H5" s="70">
        <v>2715</v>
      </c>
      <c r="I5" s="69">
        <v>307.31</v>
      </c>
    </row>
    <row r="6" spans="1:12" ht="15" x14ac:dyDescent="0.2">
      <c r="A6" s="82" t="s">
        <v>105</v>
      </c>
      <c r="D6" s="81">
        <v>3</v>
      </c>
      <c r="H6" s="70">
        <v>753</v>
      </c>
      <c r="I6" s="74">
        <v>95.59</v>
      </c>
    </row>
    <row r="7" spans="1:12" ht="15" x14ac:dyDescent="0.2">
      <c r="A7" s="82" t="s">
        <v>104</v>
      </c>
      <c r="D7" s="81">
        <v>4</v>
      </c>
      <c r="H7" s="70">
        <v>1329</v>
      </c>
      <c r="I7" s="69">
        <v>382.76</v>
      </c>
    </row>
    <row r="8" spans="1:12" ht="15" x14ac:dyDescent="0.2">
      <c r="A8" s="82" t="s">
        <v>103</v>
      </c>
      <c r="D8" s="81">
        <v>5</v>
      </c>
      <c r="H8" s="70">
        <v>104</v>
      </c>
      <c r="I8" s="74">
        <v>48.98</v>
      </c>
    </row>
    <row r="9" spans="1:12" ht="15" x14ac:dyDescent="0.2">
      <c r="A9" s="82" t="s">
        <v>102</v>
      </c>
      <c r="D9" s="81">
        <v>6</v>
      </c>
      <c r="H9" s="70">
        <v>1723</v>
      </c>
      <c r="I9" s="73">
        <v>2301.8200000000002</v>
      </c>
    </row>
    <row r="10" spans="1:12" ht="15" x14ac:dyDescent="0.2">
      <c r="A10" s="82" t="s">
        <v>101</v>
      </c>
      <c r="D10" s="81">
        <v>7</v>
      </c>
      <c r="H10" s="70">
        <v>576</v>
      </c>
      <c r="I10" s="69">
        <v>742.25</v>
      </c>
    </row>
    <row r="11" spans="1:12" ht="15" x14ac:dyDescent="0.2">
      <c r="A11" s="82" t="s">
        <v>100</v>
      </c>
      <c r="D11" s="81">
        <v>8</v>
      </c>
      <c r="H11" s="70">
        <v>59</v>
      </c>
      <c r="I11" s="71">
        <v>6.27</v>
      </c>
    </row>
    <row r="12" spans="1:12" ht="15" x14ac:dyDescent="0.2">
      <c r="A12" s="82" t="s">
        <v>99</v>
      </c>
      <c r="D12" s="81">
        <v>9</v>
      </c>
      <c r="H12" s="70">
        <v>47</v>
      </c>
      <c r="I12" s="74">
        <v>17.02</v>
      </c>
    </row>
    <row r="13" spans="1:12" ht="15" x14ac:dyDescent="0.2">
      <c r="A13" s="82" t="s">
        <v>98</v>
      </c>
      <c r="D13" s="81">
        <v>19</v>
      </c>
      <c r="H13" s="70">
        <v>3</v>
      </c>
      <c r="I13" s="71">
        <v>3.3</v>
      </c>
    </row>
    <row r="14" spans="1:12" x14ac:dyDescent="0.2">
      <c r="C14" s="80" t="s">
        <v>97</v>
      </c>
    </row>
    <row r="15" spans="1:12" x14ac:dyDescent="0.2">
      <c r="C15" s="80" t="s">
        <v>96</v>
      </c>
      <c r="H15" s="79">
        <v>7309</v>
      </c>
      <c r="I15" s="78">
        <v>3905.3</v>
      </c>
    </row>
    <row r="16" spans="1:12" x14ac:dyDescent="0.2">
      <c r="A16" s="77" t="s">
        <v>95</v>
      </c>
      <c r="H16" s="77" t="s">
        <v>94</v>
      </c>
      <c r="I16" s="77" t="s">
        <v>93</v>
      </c>
      <c r="L16" s="77" t="s">
        <v>92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0CD2-BC2E-4842-9EFA-34ED8AB33A71}">
  <dimension ref="A1:L77"/>
  <sheetViews>
    <sheetView workbookViewId="0"/>
  </sheetViews>
  <sheetFormatPr defaultRowHeight="12.75" x14ac:dyDescent="0.2"/>
  <cols>
    <col min="1" max="16384" width="9.140625" style="66"/>
  </cols>
  <sheetData>
    <row r="1" spans="1:11" ht="19.5" x14ac:dyDescent="0.2">
      <c r="A1" s="86" t="s">
        <v>126</v>
      </c>
    </row>
    <row r="2" spans="1:11" x14ac:dyDescent="0.2">
      <c r="A2" s="80" t="s">
        <v>125</v>
      </c>
    </row>
    <row r="3" spans="1:11" x14ac:dyDescent="0.2">
      <c r="A3" s="80" t="s">
        <v>124</v>
      </c>
    </row>
    <row r="4" spans="1:11" ht="15" x14ac:dyDescent="0.2">
      <c r="C4" s="88" t="s">
        <v>110</v>
      </c>
      <c r="F4" s="88" t="s">
        <v>108</v>
      </c>
      <c r="H4" s="88" t="s">
        <v>123</v>
      </c>
      <c r="J4" s="88" t="s">
        <v>122</v>
      </c>
      <c r="K4" s="88" t="s">
        <v>121</v>
      </c>
    </row>
    <row r="5" spans="1:11" x14ac:dyDescent="0.2">
      <c r="A5" s="91">
        <v>10</v>
      </c>
      <c r="B5" s="84" t="s">
        <v>190</v>
      </c>
      <c r="D5" s="91">
        <v>0</v>
      </c>
      <c r="E5" s="73">
        <v>8950.0400000000009</v>
      </c>
      <c r="G5" s="84" t="s">
        <v>165</v>
      </c>
      <c r="K5" s="95">
        <v>8950.0400000000009</v>
      </c>
    </row>
    <row r="6" spans="1:11" x14ac:dyDescent="0.2">
      <c r="A6" s="91">
        <v>20</v>
      </c>
      <c r="B6" s="84" t="s">
        <v>189</v>
      </c>
      <c r="D6" s="91">
        <v>0</v>
      </c>
      <c r="E6" s="72">
        <v>12227.32</v>
      </c>
      <c r="G6" s="84" t="s">
        <v>165</v>
      </c>
      <c r="K6" s="94">
        <v>12227.32</v>
      </c>
    </row>
    <row r="7" spans="1:11" x14ac:dyDescent="0.2">
      <c r="A7" s="91">
        <v>30</v>
      </c>
      <c r="B7" s="84" t="s">
        <v>188</v>
      </c>
      <c r="D7" s="91">
        <v>0</v>
      </c>
      <c r="E7" s="72">
        <v>28926.01</v>
      </c>
      <c r="G7" s="84" t="s">
        <v>165</v>
      </c>
      <c r="K7" s="94">
        <v>28926.01</v>
      </c>
    </row>
    <row r="8" spans="1:11" x14ac:dyDescent="0.2">
      <c r="A8" s="91">
        <v>40</v>
      </c>
      <c r="B8" s="84" t="s">
        <v>187</v>
      </c>
      <c r="D8" s="91">
        <v>0</v>
      </c>
      <c r="E8" s="73">
        <v>6807.25</v>
      </c>
      <c r="G8" s="84" t="s">
        <v>165</v>
      </c>
      <c r="K8" s="95">
        <v>6807.25</v>
      </c>
    </row>
    <row r="9" spans="1:11" x14ac:dyDescent="0.2">
      <c r="A9" s="91">
        <v>50</v>
      </c>
      <c r="B9" s="84" t="s">
        <v>186</v>
      </c>
      <c r="D9" s="91">
        <v>0</v>
      </c>
      <c r="E9" s="69">
        <v>158.84</v>
      </c>
      <c r="G9" s="84" t="s">
        <v>165</v>
      </c>
      <c r="K9" s="69">
        <v>158.84</v>
      </c>
    </row>
    <row r="10" spans="1:11" x14ac:dyDescent="0.2">
      <c r="A10" s="91">
        <v>60</v>
      </c>
      <c r="B10" s="84" t="s">
        <v>185</v>
      </c>
      <c r="D10" s="91">
        <v>0</v>
      </c>
      <c r="E10" s="73">
        <v>7455.69</v>
      </c>
      <c r="G10" s="84" t="s">
        <v>165</v>
      </c>
      <c r="K10" s="95">
        <v>7455.69</v>
      </c>
    </row>
    <row r="11" spans="1:11" x14ac:dyDescent="0.2">
      <c r="A11" s="91">
        <v>70</v>
      </c>
      <c r="B11" s="84" t="s">
        <v>184</v>
      </c>
      <c r="D11" s="91">
        <v>0</v>
      </c>
      <c r="E11" s="69">
        <v>298.56</v>
      </c>
      <c r="G11" s="84" t="s">
        <v>165</v>
      </c>
      <c r="K11" s="69">
        <v>298.56</v>
      </c>
    </row>
    <row r="12" spans="1:11" x14ac:dyDescent="0.2">
      <c r="A12" s="91">
        <v>80</v>
      </c>
      <c r="B12" s="84" t="s">
        <v>183</v>
      </c>
      <c r="D12" s="91">
        <v>0</v>
      </c>
      <c r="E12" s="73">
        <v>8324.83</v>
      </c>
      <c r="G12" s="84" t="s">
        <v>165</v>
      </c>
      <c r="K12" s="95">
        <v>8324.83</v>
      </c>
    </row>
    <row r="13" spans="1:11" x14ac:dyDescent="0.2">
      <c r="A13" s="91">
        <v>90</v>
      </c>
      <c r="B13" s="84" t="s">
        <v>182</v>
      </c>
      <c r="D13" s="91">
        <v>0</v>
      </c>
      <c r="E13" s="72">
        <v>15002.14</v>
      </c>
      <c r="G13" s="84" t="s">
        <v>165</v>
      </c>
      <c r="K13" s="94">
        <v>15002.14</v>
      </c>
    </row>
    <row r="14" spans="1:11" x14ac:dyDescent="0.2">
      <c r="A14" s="91">
        <v>120</v>
      </c>
      <c r="B14" s="84" t="s">
        <v>181</v>
      </c>
      <c r="D14" s="91">
        <v>0</v>
      </c>
      <c r="E14" s="69">
        <v>-684.02</v>
      </c>
      <c r="G14" s="84" t="s">
        <v>165</v>
      </c>
      <c r="K14" s="69">
        <v>-684.02</v>
      </c>
    </row>
    <row r="15" spans="1:11" x14ac:dyDescent="0.2">
      <c r="A15" s="91">
        <v>130</v>
      </c>
      <c r="B15" s="84" t="s">
        <v>180</v>
      </c>
      <c r="D15" s="91">
        <v>0</v>
      </c>
      <c r="E15" s="71">
        <v>9.5500000000000007</v>
      </c>
      <c r="G15" s="84" t="s">
        <v>165</v>
      </c>
      <c r="K15" s="71">
        <v>9.5500000000000007</v>
      </c>
    </row>
    <row r="16" spans="1:11" x14ac:dyDescent="0.2">
      <c r="B16" s="84" t="s">
        <v>179</v>
      </c>
      <c r="E16" s="74">
        <v>-63.33</v>
      </c>
      <c r="I16" s="74">
        <v>63.33</v>
      </c>
    </row>
    <row r="17" spans="1:11" x14ac:dyDescent="0.2">
      <c r="A17" s="91">
        <v>3</v>
      </c>
      <c r="B17" s="84" t="s">
        <v>178</v>
      </c>
      <c r="E17" s="72">
        <v>87412.88</v>
      </c>
      <c r="G17" s="84" t="s">
        <v>165</v>
      </c>
    </row>
    <row r="18" spans="1:11" x14ac:dyDescent="0.2">
      <c r="B18" s="80" t="s">
        <v>90</v>
      </c>
      <c r="C18" s="80" t="s">
        <v>177</v>
      </c>
      <c r="E18" s="85" t="s">
        <v>128</v>
      </c>
      <c r="F18" s="89">
        <v>87476.21</v>
      </c>
      <c r="H18" s="89">
        <v>87412.88</v>
      </c>
    </row>
    <row r="19" spans="1:11" x14ac:dyDescent="0.2">
      <c r="A19" s="91">
        <v>9</v>
      </c>
      <c r="B19" s="84" t="s">
        <v>96</v>
      </c>
      <c r="E19" s="73">
        <v>3905.3</v>
      </c>
      <c r="G19" s="84" t="s">
        <v>130</v>
      </c>
      <c r="J19" s="73">
        <v>3905.3</v>
      </c>
    </row>
    <row r="20" spans="1:11" x14ac:dyDescent="0.2">
      <c r="B20" s="80" t="s">
        <v>90</v>
      </c>
      <c r="C20" s="80" t="s">
        <v>176</v>
      </c>
      <c r="E20" s="85" t="s">
        <v>128</v>
      </c>
      <c r="F20" s="89">
        <v>87476.21</v>
      </c>
      <c r="H20" s="78">
        <v>3905.3</v>
      </c>
    </row>
    <row r="21" spans="1:11" x14ac:dyDescent="0.2">
      <c r="A21" s="91">
        <v>22</v>
      </c>
      <c r="B21" s="84" t="s">
        <v>175</v>
      </c>
      <c r="E21" s="73">
        <v>1267.45</v>
      </c>
      <c r="G21" s="84" t="s">
        <v>165</v>
      </c>
      <c r="K21" s="73">
        <v>1267.45</v>
      </c>
    </row>
    <row r="22" spans="1:11" x14ac:dyDescent="0.2">
      <c r="A22" s="91">
        <v>26</v>
      </c>
      <c r="B22" s="84" t="s">
        <v>174</v>
      </c>
      <c r="E22" s="71">
        <v>5.41</v>
      </c>
      <c r="G22" s="84" t="s">
        <v>165</v>
      </c>
      <c r="K22" s="71">
        <v>5.41</v>
      </c>
    </row>
    <row r="23" spans="1:11" x14ac:dyDescent="0.2">
      <c r="A23" s="91">
        <v>30</v>
      </c>
      <c r="B23" s="84" t="s">
        <v>173</v>
      </c>
      <c r="E23" s="71">
        <v>0.72</v>
      </c>
      <c r="G23" s="84" t="s">
        <v>165</v>
      </c>
      <c r="K23" s="71">
        <v>0.72</v>
      </c>
    </row>
    <row r="24" spans="1:11" x14ac:dyDescent="0.2">
      <c r="B24" s="80" t="s">
        <v>90</v>
      </c>
      <c r="C24" s="80" t="s">
        <v>172</v>
      </c>
      <c r="E24" s="85" t="s">
        <v>128</v>
      </c>
      <c r="F24" s="92">
        <v>262428.63</v>
      </c>
      <c r="H24" s="78">
        <v>1273.58</v>
      </c>
    </row>
    <row r="25" spans="1:11" x14ac:dyDescent="0.2">
      <c r="A25" s="91">
        <v>39</v>
      </c>
      <c r="B25" s="84" t="s">
        <v>171</v>
      </c>
      <c r="E25" s="74">
        <v>49.3</v>
      </c>
      <c r="G25" s="84" t="s">
        <v>165</v>
      </c>
      <c r="K25" s="74">
        <v>49.3</v>
      </c>
    </row>
    <row r="26" spans="1:11" x14ac:dyDescent="0.2">
      <c r="A26" s="91">
        <v>40</v>
      </c>
      <c r="B26" s="84" t="s">
        <v>170</v>
      </c>
      <c r="E26" s="74">
        <v>78</v>
      </c>
      <c r="G26" s="84" t="s">
        <v>165</v>
      </c>
      <c r="K26" s="74">
        <v>78</v>
      </c>
    </row>
    <row r="27" spans="1:11" x14ac:dyDescent="0.2">
      <c r="B27" s="80" t="s">
        <v>90</v>
      </c>
      <c r="C27" s="80" t="s">
        <v>169</v>
      </c>
      <c r="E27" s="85" t="s">
        <v>128</v>
      </c>
      <c r="F27" s="92">
        <v>174952.42</v>
      </c>
      <c r="H27" s="93">
        <v>127.3</v>
      </c>
    </row>
    <row r="28" spans="1:11" x14ac:dyDescent="0.2">
      <c r="A28" s="91">
        <v>205</v>
      </c>
      <c r="B28" s="84" t="s">
        <v>168</v>
      </c>
      <c r="E28" s="69">
        <v>178.1</v>
      </c>
      <c r="G28" s="84" t="s">
        <v>165</v>
      </c>
      <c r="K28" s="69">
        <v>178.1</v>
      </c>
    </row>
    <row r="29" spans="1:11" x14ac:dyDescent="0.2">
      <c r="A29" s="91">
        <v>207</v>
      </c>
      <c r="B29" s="84" t="s">
        <v>167</v>
      </c>
      <c r="E29" s="71">
        <v>0.13</v>
      </c>
      <c r="G29" s="84" t="s">
        <v>165</v>
      </c>
      <c r="K29" s="71">
        <v>0.13</v>
      </c>
    </row>
    <row r="30" spans="1:11" x14ac:dyDescent="0.2">
      <c r="A30" s="91">
        <v>208</v>
      </c>
      <c r="B30" s="84" t="s">
        <v>166</v>
      </c>
      <c r="E30" s="73">
        <v>1483.2</v>
      </c>
      <c r="G30" s="84" t="s">
        <v>165</v>
      </c>
      <c r="K30" s="73">
        <v>1483.2</v>
      </c>
    </row>
    <row r="31" spans="1:11" x14ac:dyDescent="0.2">
      <c r="B31" s="80" t="s">
        <v>90</v>
      </c>
      <c r="C31" s="80" t="s">
        <v>164</v>
      </c>
      <c r="E31" s="85" t="s">
        <v>128</v>
      </c>
      <c r="F31" s="92">
        <v>262428.63</v>
      </c>
      <c r="H31" s="78">
        <v>1661.43</v>
      </c>
    </row>
    <row r="32" spans="1:11" x14ac:dyDescent="0.2">
      <c r="A32" s="91">
        <v>901</v>
      </c>
      <c r="B32" s="84" t="s">
        <v>163</v>
      </c>
      <c r="E32" s="73">
        <v>8623.61</v>
      </c>
    </row>
    <row r="33" spans="1:12" x14ac:dyDescent="0.2">
      <c r="A33" s="91">
        <v>902</v>
      </c>
      <c r="B33" s="84" t="s">
        <v>162</v>
      </c>
      <c r="E33" s="74">
        <v>52</v>
      </c>
    </row>
    <row r="34" spans="1:12" x14ac:dyDescent="0.2">
      <c r="A34" s="91">
        <v>922</v>
      </c>
      <c r="B34" s="84" t="s">
        <v>161</v>
      </c>
      <c r="E34" s="69">
        <v>140</v>
      </c>
    </row>
    <row r="35" spans="1:12" x14ac:dyDescent="0.2">
      <c r="A35" s="91">
        <v>903</v>
      </c>
      <c r="B35" s="84" t="s">
        <v>160</v>
      </c>
      <c r="E35" s="72">
        <v>20276.919999999998</v>
      </c>
    </row>
    <row r="36" spans="1:12" x14ac:dyDescent="0.2">
      <c r="I36" s="77" t="s">
        <v>94</v>
      </c>
      <c r="J36" s="77" t="s">
        <v>119</v>
      </c>
      <c r="L36" s="77" t="s">
        <v>92</v>
      </c>
    </row>
    <row r="37" spans="1:12" ht="19.5" x14ac:dyDescent="0.2">
      <c r="A37" s="86" t="s">
        <v>126</v>
      </c>
    </row>
    <row r="38" spans="1:12" x14ac:dyDescent="0.2">
      <c r="A38" s="80" t="s">
        <v>125</v>
      </c>
    </row>
    <row r="39" spans="1:12" x14ac:dyDescent="0.2">
      <c r="A39" s="80" t="s">
        <v>124</v>
      </c>
    </row>
    <row r="40" spans="1:12" ht="15" x14ac:dyDescent="0.2">
      <c r="C40" s="88" t="s">
        <v>110</v>
      </c>
      <c r="F40" s="88" t="s">
        <v>108</v>
      </c>
      <c r="H40" s="88" t="s">
        <v>123</v>
      </c>
      <c r="J40" s="88" t="s">
        <v>122</v>
      </c>
      <c r="K40" s="88" t="s">
        <v>121</v>
      </c>
    </row>
    <row r="41" spans="1:12" x14ac:dyDescent="0.2">
      <c r="A41" s="91">
        <v>920</v>
      </c>
      <c r="B41" s="84" t="s">
        <v>159</v>
      </c>
      <c r="E41" s="74">
        <v>40.159999999999997</v>
      </c>
    </row>
    <row r="42" spans="1:12" x14ac:dyDescent="0.2">
      <c r="A42" s="91">
        <v>921</v>
      </c>
      <c r="B42" s="84" t="s">
        <v>158</v>
      </c>
      <c r="E42" s="69">
        <v>644.02</v>
      </c>
    </row>
    <row r="43" spans="1:12" x14ac:dyDescent="0.2">
      <c r="A43" s="91">
        <v>928</v>
      </c>
      <c r="B43" s="84" t="s">
        <v>157</v>
      </c>
      <c r="E43" s="74">
        <v>45.12</v>
      </c>
    </row>
    <row r="44" spans="1:12" x14ac:dyDescent="0.2">
      <c r="A44" s="91">
        <v>930</v>
      </c>
      <c r="B44" s="84" t="s">
        <v>156</v>
      </c>
      <c r="E44" s="72">
        <v>23049.03</v>
      </c>
    </row>
    <row r="45" spans="1:12" x14ac:dyDescent="0.2">
      <c r="A45" s="91">
        <v>931</v>
      </c>
      <c r="B45" s="84" t="s">
        <v>155</v>
      </c>
      <c r="E45" s="72">
        <v>22007.18</v>
      </c>
    </row>
    <row r="46" spans="1:12" x14ac:dyDescent="0.2">
      <c r="A46" s="91">
        <v>932</v>
      </c>
      <c r="B46" s="84" t="s">
        <v>154</v>
      </c>
      <c r="E46" s="73">
        <v>7473.71</v>
      </c>
    </row>
    <row r="47" spans="1:12" x14ac:dyDescent="0.2">
      <c r="A47" s="91">
        <v>933</v>
      </c>
      <c r="B47" s="84" t="s">
        <v>153</v>
      </c>
      <c r="E47" s="73">
        <v>3134.77</v>
      </c>
    </row>
    <row r="48" spans="1:12" x14ac:dyDescent="0.2">
      <c r="A48" s="91">
        <v>980</v>
      </c>
      <c r="B48" s="84" t="s">
        <v>152</v>
      </c>
      <c r="E48" s="69">
        <v>747</v>
      </c>
    </row>
    <row r="49" spans="1:10" x14ac:dyDescent="0.2">
      <c r="A49" s="91">
        <v>906</v>
      </c>
      <c r="B49" s="84" t="s">
        <v>151</v>
      </c>
      <c r="E49" s="69">
        <v>208.07</v>
      </c>
    </row>
    <row r="50" spans="1:10" x14ac:dyDescent="0.2">
      <c r="A50" s="91">
        <v>908</v>
      </c>
      <c r="B50" s="84" t="s">
        <v>150</v>
      </c>
      <c r="E50" s="69">
        <v>107</v>
      </c>
    </row>
    <row r="51" spans="1:10" x14ac:dyDescent="0.2">
      <c r="A51" s="91">
        <v>910</v>
      </c>
      <c r="B51" s="84" t="s">
        <v>149</v>
      </c>
      <c r="E51" s="74">
        <v>20</v>
      </c>
    </row>
    <row r="52" spans="1:10" x14ac:dyDescent="0.2">
      <c r="A52" s="91">
        <v>911</v>
      </c>
      <c r="B52" s="84" t="s">
        <v>148</v>
      </c>
      <c r="E52" s="71">
        <v>1.3</v>
      </c>
    </row>
    <row r="53" spans="1:10" x14ac:dyDescent="0.2">
      <c r="B53" s="80" t="s">
        <v>90</v>
      </c>
      <c r="C53" s="80" t="s">
        <v>147</v>
      </c>
      <c r="E53" s="85" t="s">
        <v>128</v>
      </c>
      <c r="F53" s="90">
        <v>1399619.36</v>
      </c>
      <c r="H53" s="89">
        <v>86569.89</v>
      </c>
    </row>
    <row r="54" spans="1:10" x14ac:dyDescent="0.2">
      <c r="A54" s="91">
        <v>1101</v>
      </c>
      <c r="B54" s="84" t="s">
        <v>146</v>
      </c>
      <c r="E54" s="73">
        <v>8623.61</v>
      </c>
      <c r="G54" s="84" t="s">
        <v>130</v>
      </c>
      <c r="J54" s="73">
        <v>8623.61</v>
      </c>
    </row>
    <row r="55" spans="1:10" x14ac:dyDescent="0.2">
      <c r="A55" s="91">
        <v>1102</v>
      </c>
      <c r="B55" s="84" t="s">
        <v>145</v>
      </c>
      <c r="E55" s="74">
        <v>52</v>
      </c>
      <c r="G55" s="84" t="s">
        <v>130</v>
      </c>
      <c r="J55" s="74">
        <v>52</v>
      </c>
    </row>
    <row r="56" spans="1:10" x14ac:dyDescent="0.2">
      <c r="A56" s="91">
        <v>1122</v>
      </c>
      <c r="B56" s="84" t="s">
        <v>144</v>
      </c>
      <c r="E56" s="69">
        <v>140</v>
      </c>
      <c r="G56" s="84" t="s">
        <v>130</v>
      </c>
      <c r="J56" s="69">
        <v>140</v>
      </c>
    </row>
    <row r="57" spans="1:10" x14ac:dyDescent="0.2">
      <c r="A57" s="91">
        <v>1103</v>
      </c>
      <c r="B57" s="84" t="s">
        <v>143</v>
      </c>
      <c r="E57" s="72">
        <v>20276.919999999998</v>
      </c>
      <c r="G57" s="84" t="s">
        <v>130</v>
      </c>
      <c r="J57" s="72">
        <v>20276.919999999998</v>
      </c>
    </row>
    <row r="58" spans="1:10" x14ac:dyDescent="0.2">
      <c r="A58" s="91">
        <v>1120</v>
      </c>
      <c r="B58" s="84" t="s">
        <v>142</v>
      </c>
      <c r="E58" s="74">
        <v>40.159999999999997</v>
      </c>
      <c r="G58" s="84" t="s">
        <v>130</v>
      </c>
      <c r="J58" s="74">
        <v>40.159999999999997</v>
      </c>
    </row>
    <row r="59" spans="1:10" x14ac:dyDescent="0.2">
      <c r="A59" s="91">
        <v>1121</v>
      </c>
      <c r="B59" s="84" t="s">
        <v>141</v>
      </c>
      <c r="E59" s="69">
        <v>644.02</v>
      </c>
      <c r="G59" s="84" t="s">
        <v>130</v>
      </c>
      <c r="J59" s="69">
        <v>644.02</v>
      </c>
    </row>
    <row r="60" spans="1:10" x14ac:dyDescent="0.2">
      <c r="A60" s="91">
        <v>1128</v>
      </c>
      <c r="B60" s="84" t="s">
        <v>140</v>
      </c>
      <c r="E60" s="74">
        <v>45.12</v>
      </c>
      <c r="G60" s="84" t="s">
        <v>130</v>
      </c>
      <c r="J60" s="74">
        <v>45.12</v>
      </c>
    </row>
    <row r="61" spans="1:10" x14ac:dyDescent="0.2">
      <c r="A61" s="91">
        <v>1130</v>
      </c>
      <c r="B61" s="84" t="s">
        <v>139</v>
      </c>
      <c r="E61" s="72">
        <v>23049.03</v>
      </c>
      <c r="G61" s="84" t="s">
        <v>130</v>
      </c>
      <c r="J61" s="72">
        <v>23049.03</v>
      </c>
    </row>
    <row r="62" spans="1:10" x14ac:dyDescent="0.2">
      <c r="A62" s="91">
        <v>1131</v>
      </c>
      <c r="B62" s="84" t="s">
        <v>138</v>
      </c>
      <c r="E62" s="72">
        <v>22007.18</v>
      </c>
      <c r="G62" s="84" t="s">
        <v>130</v>
      </c>
      <c r="J62" s="72">
        <v>22007.18</v>
      </c>
    </row>
    <row r="63" spans="1:10" x14ac:dyDescent="0.2">
      <c r="A63" s="91">
        <v>1132</v>
      </c>
      <c r="B63" s="84" t="s">
        <v>137</v>
      </c>
      <c r="E63" s="73">
        <v>7473.71</v>
      </c>
      <c r="G63" s="84" t="s">
        <v>130</v>
      </c>
      <c r="J63" s="73">
        <v>7473.71</v>
      </c>
    </row>
    <row r="64" spans="1:10" x14ac:dyDescent="0.2">
      <c r="A64" s="91">
        <v>1133</v>
      </c>
      <c r="B64" s="84" t="s">
        <v>136</v>
      </c>
      <c r="E64" s="73">
        <v>3134.77</v>
      </c>
      <c r="G64" s="84" t="s">
        <v>130</v>
      </c>
      <c r="J64" s="73">
        <v>3134.77</v>
      </c>
    </row>
    <row r="65" spans="1:12" x14ac:dyDescent="0.2">
      <c r="A65" s="91">
        <v>1180</v>
      </c>
      <c r="B65" s="84" t="s">
        <v>135</v>
      </c>
      <c r="E65" s="69">
        <v>747</v>
      </c>
      <c r="G65" s="84" t="s">
        <v>130</v>
      </c>
      <c r="J65" s="69">
        <v>747</v>
      </c>
    </row>
    <row r="66" spans="1:12" x14ac:dyDescent="0.2">
      <c r="A66" s="91">
        <v>1106</v>
      </c>
      <c r="B66" s="84" t="s">
        <v>134</v>
      </c>
      <c r="E66" s="69">
        <v>208.07</v>
      </c>
      <c r="G66" s="84" t="s">
        <v>130</v>
      </c>
      <c r="J66" s="69">
        <v>208.07</v>
      </c>
    </row>
    <row r="67" spans="1:12" x14ac:dyDescent="0.2">
      <c r="A67" s="91">
        <v>1108</v>
      </c>
      <c r="B67" s="84" t="s">
        <v>133</v>
      </c>
      <c r="E67" s="69">
        <v>107</v>
      </c>
      <c r="G67" s="84" t="s">
        <v>130</v>
      </c>
      <c r="J67" s="69">
        <v>107</v>
      </c>
    </row>
    <row r="68" spans="1:12" x14ac:dyDescent="0.2">
      <c r="A68" s="91">
        <v>1110</v>
      </c>
      <c r="B68" s="84" t="s">
        <v>132</v>
      </c>
      <c r="E68" s="74">
        <v>20</v>
      </c>
      <c r="G68" s="84" t="s">
        <v>130</v>
      </c>
      <c r="J68" s="74">
        <v>20</v>
      </c>
    </row>
    <row r="69" spans="1:12" x14ac:dyDescent="0.2">
      <c r="A69" s="91">
        <v>1111</v>
      </c>
      <c r="B69" s="84" t="s">
        <v>131</v>
      </c>
      <c r="E69" s="71">
        <v>1.3</v>
      </c>
      <c r="G69" s="84" t="s">
        <v>130</v>
      </c>
      <c r="J69" s="71">
        <v>1.3</v>
      </c>
    </row>
    <row r="70" spans="1:12" x14ac:dyDescent="0.2">
      <c r="B70" s="80" t="s">
        <v>90</v>
      </c>
      <c r="C70" s="80" t="s">
        <v>129</v>
      </c>
      <c r="E70" s="85" t="s">
        <v>128</v>
      </c>
      <c r="F70" s="90">
        <v>1399619.36</v>
      </c>
      <c r="H70" s="89">
        <v>86569.89</v>
      </c>
    </row>
    <row r="71" spans="1:12" x14ac:dyDescent="0.2">
      <c r="I71" s="77" t="s">
        <v>94</v>
      </c>
      <c r="J71" s="77" t="s">
        <v>119</v>
      </c>
      <c r="L71" s="77" t="s">
        <v>127</v>
      </c>
    </row>
    <row r="72" spans="1:12" ht="19.5" x14ac:dyDescent="0.2">
      <c r="A72" s="86" t="s">
        <v>126</v>
      </c>
    </row>
    <row r="73" spans="1:12" x14ac:dyDescent="0.2">
      <c r="A73" s="80" t="s">
        <v>125</v>
      </c>
    </row>
    <row r="74" spans="1:12" x14ac:dyDescent="0.2">
      <c r="A74" s="80" t="s">
        <v>124</v>
      </c>
    </row>
    <row r="75" spans="1:12" ht="15" x14ac:dyDescent="0.2">
      <c r="C75" s="88" t="s">
        <v>110</v>
      </c>
      <c r="F75" s="88" t="s">
        <v>108</v>
      </c>
      <c r="H75" s="88" t="s">
        <v>123</v>
      </c>
      <c r="J75" s="88" t="s">
        <v>122</v>
      </c>
      <c r="K75" s="88" t="s">
        <v>121</v>
      </c>
    </row>
    <row r="76" spans="1:12" x14ac:dyDescent="0.2">
      <c r="H76" s="80" t="s">
        <v>120</v>
      </c>
      <c r="J76" s="87">
        <v>90475.19</v>
      </c>
      <c r="L76" s="87">
        <v>90475.19</v>
      </c>
    </row>
    <row r="77" spans="1:12" x14ac:dyDescent="0.2">
      <c r="I77" s="77" t="s">
        <v>94</v>
      </c>
      <c r="J77" s="77" t="s">
        <v>119</v>
      </c>
      <c r="L77" s="77" t="s">
        <v>118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82026 discounts</vt:lpstr>
      <vt:lpstr>82026 bs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2026-08-21T15:00:34Z</dcterms:modified>
</cp:coreProperties>
</file>