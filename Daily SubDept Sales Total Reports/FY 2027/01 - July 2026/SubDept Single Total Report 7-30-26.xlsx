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9E5F5C89-63A8-4306-9218-7B9D02E04C06}" xr6:coauthVersionLast="47" xr6:coauthVersionMax="47" xr10:uidLastSave="{00000000-0000-0000-0000-000000000000}"/>
  <bookViews>
    <workbookView xWindow="-22695" yWindow="0" windowWidth="20865" windowHeight="12825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M2" i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<sst xmlns="http://schemas.openxmlformats.org/spreadsheetml/2006/main" count="138" uniqueCount="92">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</sst>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84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4" fontId="21" fillId="0" borderId="0" xfId="11" applyNumberFormat="1"/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" fontId="0" fillId="2" borderId="0" xfId="0" applyNumberForma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2" borderId="0" xfId="3" applyNumberFormat="1" applyFont="1" applyFill="1"/>
    <xf numFmtId="44" fontId="0" fillId="0" borderId="0" xfId="3" applyNumberFormat="1" applyFont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27124A5E-36D1-43AC-9E78-45A782852F49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topLeftCell="A22" workbookViewId="0">
      <selection activeCell="K30" sqref="K30"/>
    </sheetView>
  </sheetViews>
  <sheetFormatPr defaultRowHeight="15" x14ac:dyDescent="0.25"/>
  <cols>
    <col min="2" max="2" width="14.7109375" bestFit="1" customWidth="1"/>
  </cols>
  <sheetData>
    <row r="1" spans="1:7" x14ac:dyDescent="0.25">
      <c r="A1" s="69">
        <v>23</v>
      </c>
      <c r="B1" s="70" t="s">
        <v>7</v>
      </c>
      <c r="C1" s="68"/>
      <c r="D1" s="68"/>
      <c r="E1" s="68"/>
      <c r="F1" s="71">
        <v>-1</v>
      </c>
      <c r="G1" s="72">
        <v>-1.5</v>
      </c>
    </row>
    <row r="2" spans="1:7" x14ac:dyDescent="0.25">
      <c r="A2" s="69">
        <v>27</v>
      </c>
      <c r="B2" s="70" t="s">
        <v>11</v>
      </c>
      <c r="C2" s="68"/>
      <c r="D2" s="68"/>
      <c r="E2" s="68"/>
      <c r="F2" s="71"/>
      <c r="G2" s="72">
        <v>-671.04</v>
      </c>
    </row>
    <row r="3" spans="1:7" x14ac:dyDescent="0.25">
      <c r="A3" s="69">
        <v>28</v>
      </c>
      <c r="B3" s="70" t="s">
        <v>12</v>
      </c>
      <c r="C3" s="68"/>
      <c r="D3" s="68"/>
      <c r="E3" s="68"/>
      <c r="F3" s="71">
        <v>78</v>
      </c>
      <c r="G3" s="73">
        <v>7.8</v>
      </c>
    </row>
    <row r="4" spans="1:7" x14ac:dyDescent="0.25">
      <c r="A4" s="69">
        <v>38</v>
      </c>
      <c r="B4" s="70" t="s">
        <v>55</v>
      </c>
      <c r="C4" s="68"/>
      <c r="D4" s="68"/>
      <c r="E4" s="68"/>
      <c r="F4" s="71">
        <v>92</v>
      </c>
      <c r="G4" s="68">
        <v>4.5999999999999996</v>
      </c>
    </row>
    <row r="5" spans="1:7" x14ac:dyDescent="0.25">
      <c r="A5" s="69">
        <v>110</v>
      </c>
      <c r="B5" s="70" t="s">
        <v>22</v>
      </c>
      <c r="C5" s="68"/>
      <c r="D5" s="68"/>
      <c r="E5" s="68"/>
      <c r="F5" s="71">
        <v>3172</v>
      </c>
      <c r="G5" s="72">
        <v>15630.75</v>
      </c>
    </row>
    <row r="6" spans="1:7" x14ac:dyDescent="0.25">
      <c r="A6" s="69">
        <v>120</v>
      </c>
      <c r="B6" s="70" t="s">
        <v>23</v>
      </c>
      <c r="C6" s="68"/>
      <c r="D6" s="68"/>
      <c r="E6" s="68"/>
      <c r="F6" s="71">
        <v>2238</v>
      </c>
      <c r="G6" s="73">
        <v>11266.3</v>
      </c>
    </row>
    <row r="7" spans="1:7" x14ac:dyDescent="0.25">
      <c r="A7" s="69">
        <v>130</v>
      </c>
      <c r="B7" s="70" t="s">
        <v>24</v>
      </c>
      <c r="C7" s="68"/>
      <c r="D7" s="68"/>
      <c r="E7" s="68"/>
      <c r="F7" s="71">
        <v>515</v>
      </c>
      <c r="G7" s="67">
        <v>3501.65</v>
      </c>
    </row>
    <row r="8" spans="1:7" x14ac:dyDescent="0.25">
      <c r="A8" s="69">
        <v>140</v>
      </c>
      <c r="B8" s="70" t="s">
        <v>25</v>
      </c>
      <c r="C8" s="68"/>
      <c r="D8" s="68"/>
      <c r="E8" s="68"/>
      <c r="F8" s="71">
        <v>1560</v>
      </c>
      <c r="G8" s="73">
        <v>10337.23</v>
      </c>
    </row>
    <row r="9" spans="1:7" x14ac:dyDescent="0.25">
      <c r="A9" s="69">
        <v>142</v>
      </c>
      <c r="B9" s="70" t="s">
        <v>26</v>
      </c>
      <c r="C9" s="68"/>
      <c r="D9" s="68"/>
      <c r="E9" s="68"/>
      <c r="F9" s="71">
        <v>176</v>
      </c>
      <c r="G9" s="73">
        <v>885.73</v>
      </c>
    </row>
    <row r="10" spans="1:7" x14ac:dyDescent="0.25">
      <c r="A10" s="69">
        <v>150</v>
      </c>
      <c r="B10" s="70" t="s">
        <v>27</v>
      </c>
      <c r="C10" s="68"/>
      <c r="D10" s="68"/>
      <c r="E10" s="68"/>
      <c r="F10" s="71">
        <v>449</v>
      </c>
      <c r="G10" s="73">
        <v>2576.04</v>
      </c>
    </row>
    <row r="11" spans="1:7" x14ac:dyDescent="0.25">
      <c r="A11" s="69">
        <v>160</v>
      </c>
      <c r="B11" s="70" t="s">
        <v>28</v>
      </c>
      <c r="C11" s="68"/>
      <c r="D11" s="68"/>
      <c r="E11" s="68"/>
      <c r="F11" s="71">
        <v>98</v>
      </c>
      <c r="G11" s="73">
        <v>1111.08</v>
      </c>
    </row>
    <row r="12" spans="1:7" x14ac:dyDescent="0.25">
      <c r="A12" s="69">
        <v>180</v>
      </c>
      <c r="B12" s="70" t="s">
        <v>30</v>
      </c>
      <c r="C12" s="68"/>
      <c r="D12" s="68"/>
      <c r="E12" s="68"/>
      <c r="F12" s="71">
        <v>62</v>
      </c>
      <c r="G12" s="73">
        <v>240.58</v>
      </c>
    </row>
    <row r="13" spans="1:7" x14ac:dyDescent="0.25">
      <c r="A13" s="69">
        <v>190</v>
      </c>
      <c r="B13" s="70" t="s">
        <v>31</v>
      </c>
      <c r="C13" s="68"/>
      <c r="D13" s="68"/>
      <c r="E13" s="68"/>
      <c r="F13" s="71">
        <v>155</v>
      </c>
      <c r="G13" s="73">
        <v>953.15</v>
      </c>
    </row>
    <row r="14" spans="1:7" x14ac:dyDescent="0.25">
      <c r="A14" s="57">
        <v>210</v>
      </c>
      <c r="B14" s="58" t="s">
        <v>32</v>
      </c>
      <c r="C14" s="56"/>
      <c r="D14" s="56"/>
      <c r="E14" s="56"/>
      <c r="F14" s="60">
        <v>1295</v>
      </c>
      <c r="G14" s="64">
        <v>10810.17</v>
      </c>
    </row>
    <row r="15" spans="1:7" x14ac:dyDescent="0.25">
      <c r="A15" s="57">
        <v>220</v>
      </c>
      <c r="B15" s="58" t="s">
        <v>33</v>
      </c>
      <c r="C15" s="56"/>
      <c r="D15" s="56"/>
      <c r="E15" s="56"/>
      <c r="F15" s="60">
        <v>736</v>
      </c>
      <c r="G15" s="61">
        <v>2638.53</v>
      </c>
    </row>
    <row r="16" spans="1:7" x14ac:dyDescent="0.25">
      <c r="A16" s="57">
        <v>230</v>
      </c>
      <c r="B16" s="58" t="s">
        <v>34</v>
      </c>
      <c r="C16" s="56"/>
      <c r="D16" s="56"/>
      <c r="E16" s="56"/>
      <c r="F16" s="60">
        <v>3</v>
      </c>
      <c r="G16" s="59">
        <v>681.92</v>
      </c>
    </row>
    <row r="17" spans="1:7" x14ac:dyDescent="0.25">
      <c r="A17" s="57">
        <v>235</v>
      </c>
      <c r="B17" s="58" t="s">
        <v>59</v>
      </c>
      <c r="C17" s="56"/>
      <c r="D17" s="56"/>
      <c r="E17" s="56"/>
      <c r="F17" s="60">
        <v>158</v>
      </c>
      <c r="G17" s="59">
        <v>1313.5</v>
      </c>
    </row>
    <row r="18" spans="1:7" x14ac:dyDescent="0.25">
      <c r="A18" s="57">
        <v>240</v>
      </c>
      <c r="B18" s="58" t="s">
        <v>35</v>
      </c>
      <c r="C18" s="56"/>
      <c r="D18" s="56"/>
      <c r="E18" s="56"/>
      <c r="F18" s="56">
        <v>237</v>
      </c>
      <c r="G18" s="56">
        <v>895.38</v>
      </c>
    </row>
    <row r="19" spans="1:7" x14ac:dyDescent="0.25">
      <c r="A19" s="57">
        <v>250</v>
      </c>
      <c r="B19" s="58" t="s">
        <v>36</v>
      </c>
      <c r="C19" s="56"/>
      <c r="D19" s="56"/>
      <c r="E19" s="56"/>
      <c r="F19" s="60">
        <v>199</v>
      </c>
      <c r="G19" s="64">
        <v>1131.32</v>
      </c>
    </row>
    <row r="20" spans="1:7" x14ac:dyDescent="0.25">
      <c r="A20" s="57">
        <v>310</v>
      </c>
      <c r="B20" s="58" t="s">
        <v>37</v>
      </c>
      <c r="C20" s="56"/>
      <c r="D20" s="56"/>
      <c r="E20" s="56"/>
      <c r="F20" s="60">
        <v>889</v>
      </c>
      <c r="G20" s="64">
        <v>5436.37</v>
      </c>
    </row>
    <row r="21" spans="1:7" x14ac:dyDescent="0.25">
      <c r="A21" s="57">
        <v>320</v>
      </c>
      <c r="B21" s="58" t="s">
        <v>38</v>
      </c>
      <c r="C21" s="56"/>
      <c r="D21" s="56"/>
      <c r="E21" s="56"/>
      <c r="F21" s="60">
        <v>762</v>
      </c>
      <c r="G21" s="64">
        <v>7666.9</v>
      </c>
    </row>
    <row r="22" spans="1:7" x14ac:dyDescent="0.25">
      <c r="A22" s="57">
        <v>330</v>
      </c>
      <c r="B22" s="58" t="s">
        <v>39</v>
      </c>
      <c r="C22" s="56"/>
      <c r="D22" s="56"/>
      <c r="E22" s="56"/>
      <c r="F22" s="60">
        <v>218</v>
      </c>
      <c r="G22" s="64">
        <v>1925.55</v>
      </c>
    </row>
    <row r="23" spans="1:7" x14ac:dyDescent="0.25">
      <c r="A23" s="57">
        <v>340</v>
      </c>
      <c r="B23" s="58" t="s">
        <v>40</v>
      </c>
      <c r="C23" s="56"/>
      <c r="D23" s="56"/>
      <c r="E23" s="56"/>
      <c r="F23" s="60">
        <v>160</v>
      </c>
      <c r="G23" s="64">
        <v>2259.19</v>
      </c>
    </row>
    <row r="24" spans="1:7" x14ac:dyDescent="0.25">
      <c r="A24" s="57">
        <v>350</v>
      </c>
      <c r="B24" s="58" t="s">
        <v>41</v>
      </c>
      <c r="C24" s="56"/>
      <c r="D24" s="56"/>
      <c r="E24" s="56"/>
      <c r="F24" s="60">
        <v>154</v>
      </c>
      <c r="G24" s="63">
        <v>1581.91</v>
      </c>
    </row>
    <row r="25" spans="1:7" x14ac:dyDescent="0.25">
      <c r="A25" s="57">
        <v>410</v>
      </c>
      <c r="B25" s="58" t="s">
        <v>42</v>
      </c>
      <c r="C25" s="56"/>
      <c r="D25" s="56"/>
      <c r="E25" s="56"/>
      <c r="F25" s="60">
        <v>4495</v>
      </c>
      <c r="G25" s="64">
        <v>15969.89</v>
      </c>
    </row>
    <row r="26" spans="1:7" x14ac:dyDescent="0.25">
      <c r="A26" s="57">
        <v>420</v>
      </c>
      <c r="B26" s="58" t="s">
        <v>43</v>
      </c>
      <c r="C26" s="56"/>
      <c r="D26" s="56"/>
      <c r="E26" s="56"/>
      <c r="F26" s="60">
        <v>215</v>
      </c>
      <c r="G26" s="64">
        <v>1409.82</v>
      </c>
    </row>
    <row r="27" spans="1:7" x14ac:dyDescent="0.25">
      <c r="A27" s="57">
        <v>510</v>
      </c>
      <c r="B27" s="58" t="s">
        <v>44</v>
      </c>
      <c r="C27" s="56"/>
      <c r="D27" s="56"/>
      <c r="E27" s="56"/>
      <c r="F27" s="60">
        <v>350</v>
      </c>
      <c r="G27" s="64">
        <v>3174.34</v>
      </c>
    </row>
    <row r="28" spans="1:7" x14ac:dyDescent="0.25">
      <c r="A28" s="57">
        <v>520</v>
      </c>
      <c r="B28" s="58" t="s">
        <v>45</v>
      </c>
      <c r="C28" s="56"/>
      <c r="D28" s="56"/>
      <c r="E28" s="56"/>
      <c r="F28" s="60">
        <v>298</v>
      </c>
      <c r="G28" s="61">
        <v>5402.16</v>
      </c>
    </row>
    <row r="29" spans="1:7" x14ac:dyDescent="0.25">
      <c r="A29" s="57">
        <v>550</v>
      </c>
      <c r="B29" s="58" t="s">
        <v>48</v>
      </c>
      <c r="C29" s="56"/>
      <c r="D29" s="56"/>
      <c r="E29" s="56"/>
      <c r="F29" s="60">
        <v>2</v>
      </c>
      <c r="G29" s="61">
        <v>21.98</v>
      </c>
    </row>
    <row r="30" spans="1:7" x14ac:dyDescent="0.25">
      <c r="A30" s="50">
        <v>1300</v>
      </c>
      <c r="B30" s="51" t="s">
        <v>51</v>
      </c>
      <c r="C30" s="49"/>
      <c r="D30" s="49"/>
      <c r="E30" s="49"/>
      <c r="F30" s="52">
        <v>26</v>
      </c>
      <c r="G30" s="54">
        <v>88.84</v>
      </c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3"/>
    </sheetView>
  </sheetViews>
  <sheetFormatPr defaultRowHeight="15" x14ac:dyDescent="0.25"/>
  <sheetData>
    <row r="1" spans="1:7" x14ac:dyDescent="0.25">
      <c r="A1" s="75">
        <v>110</v>
      </c>
      <c r="B1" s="76" t="s">
        <v>22</v>
      </c>
      <c r="C1" s="74"/>
      <c r="D1" s="74"/>
      <c r="E1" s="74"/>
      <c r="F1" s="77">
        <v>24</v>
      </c>
      <c r="G1" s="78">
        <v>12.94</v>
      </c>
    </row>
    <row r="2" spans="1:7" x14ac:dyDescent="0.25">
      <c r="A2" s="75">
        <v>120</v>
      </c>
      <c r="B2" s="76" t="s">
        <v>23</v>
      </c>
      <c r="C2" s="74"/>
      <c r="D2" s="74"/>
      <c r="E2" s="74"/>
      <c r="F2" s="77">
        <v>51</v>
      </c>
      <c r="G2" s="78">
        <v>28.27</v>
      </c>
    </row>
    <row r="3" spans="1:7" x14ac:dyDescent="0.25">
      <c r="A3" s="75">
        <v>130</v>
      </c>
      <c r="B3" s="76" t="s">
        <v>24</v>
      </c>
      <c r="C3" s="74"/>
      <c r="D3" s="74"/>
      <c r="E3" s="74"/>
      <c r="F3" s="77">
        <v>2</v>
      </c>
      <c r="G3" s="79">
        <v>1.32</v>
      </c>
    </row>
    <row r="4" spans="1:7" x14ac:dyDescent="0.25">
      <c r="A4" s="75">
        <v>142</v>
      </c>
      <c r="B4" s="76" t="s">
        <v>26</v>
      </c>
      <c r="C4" s="74"/>
      <c r="D4" s="74"/>
      <c r="E4" s="74"/>
      <c r="F4" s="77">
        <v>136</v>
      </c>
      <c r="G4" s="74"/>
    </row>
    <row r="5" spans="1:7" x14ac:dyDescent="0.25">
      <c r="A5" s="75">
        <v>150</v>
      </c>
      <c r="B5" s="76" t="s">
        <v>27</v>
      </c>
      <c r="C5" s="74"/>
      <c r="D5" s="74"/>
      <c r="E5" s="74"/>
      <c r="F5" s="77">
        <v>47</v>
      </c>
      <c r="G5" s="78">
        <v>22.19</v>
      </c>
    </row>
    <row r="6" spans="1:7" x14ac:dyDescent="0.25">
      <c r="A6" s="75">
        <v>160</v>
      </c>
      <c r="B6" s="76" t="s">
        <v>28</v>
      </c>
      <c r="C6" s="74"/>
      <c r="D6" s="74"/>
      <c r="E6" s="74"/>
      <c r="F6" s="77">
        <v>8</v>
      </c>
      <c r="G6" s="79">
        <v>9.5399999999999991</v>
      </c>
    </row>
    <row r="7" spans="1:7" x14ac:dyDescent="0.25">
      <c r="A7" s="75">
        <v>210</v>
      </c>
      <c r="B7" s="76" t="s">
        <v>32</v>
      </c>
      <c r="C7" s="74"/>
      <c r="D7" s="74"/>
      <c r="E7" s="74"/>
      <c r="F7" s="77">
        <v>34</v>
      </c>
      <c r="G7" s="74"/>
    </row>
    <row r="8" spans="1:7" x14ac:dyDescent="0.25">
      <c r="A8" s="75">
        <v>220</v>
      </c>
      <c r="B8" s="76" t="s">
        <v>33</v>
      </c>
      <c r="C8" s="74"/>
      <c r="D8" s="74"/>
      <c r="E8" s="74"/>
      <c r="F8" s="77">
        <v>1</v>
      </c>
      <c r="G8" s="79">
        <v>1.1499999999999999</v>
      </c>
    </row>
    <row r="9" spans="1:7" x14ac:dyDescent="0.25">
      <c r="A9" s="75">
        <v>310</v>
      </c>
      <c r="B9" s="76" t="s">
        <v>37</v>
      </c>
      <c r="C9" s="74"/>
      <c r="D9" s="74"/>
      <c r="E9" s="74"/>
      <c r="F9" s="77">
        <v>8</v>
      </c>
      <c r="G9" s="79">
        <v>7.49</v>
      </c>
    </row>
    <row r="10" spans="1:7" x14ac:dyDescent="0.25">
      <c r="A10" s="75">
        <v>330</v>
      </c>
      <c r="B10" s="76" t="s">
        <v>39</v>
      </c>
      <c r="C10" s="74"/>
      <c r="D10" s="74"/>
      <c r="E10" s="74"/>
      <c r="F10" s="77">
        <v>3</v>
      </c>
      <c r="G10" s="79">
        <v>4.84</v>
      </c>
    </row>
    <row r="11" spans="1:7" x14ac:dyDescent="0.25">
      <c r="A11" s="75">
        <v>350</v>
      </c>
      <c r="B11" s="76" t="s">
        <v>41</v>
      </c>
      <c r="C11" s="74"/>
      <c r="D11" s="74"/>
      <c r="E11" s="74"/>
      <c r="F11" s="77">
        <v>2</v>
      </c>
      <c r="G11" s="79">
        <v>4.2300000000000004</v>
      </c>
    </row>
    <row r="12" spans="1:7" x14ac:dyDescent="0.25">
      <c r="A12" s="75">
        <v>410</v>
      </c>
      <c r="B12" s="76" t="s">
        <v>42</v>
      </c>
      <c r="C12" s="74"/>
      <c r="D12" s="74"/>
      <c r="E12" s="74"/>
      <c r="F12" s="77">
        <v>7</v>
      </c>
      <c r="G12" s="79">
        <v>1.88</v>
      </c>
    </row>
    <row r="13" spans="1:7" x14ac:dyDescent="0.25">
      <c r="A13" s="75">
        <v>510</v>
      </c>
      <c r="B13" s="76" t="s">
        <v>44</v>
      </c>
      <c r="C13" s="74"/>
      <c r="D13" s="74"/>
      <c r="E13" s="74"/>
      <c r="F13" s="77">
        <v>1</v>
      </c>
      <c r="G13" s="79">
        <v>0.7</v>
      </c>
    </row>
    <row r="14" spans="1:7" x14ac:dyDescent="0.25">
      <c r="A14" s="57"/>
      <c r="B14" s="58"/>
      <c r="C14" s="56"/>
      <c r="D14" s="56"/>
      <c r="E14" s="56"/>
      <c r="F14" s="60"/>
      <c r="G14" s="62"/>
    </row>
    <row r="15" spans="1:7" x14ac:dyDescent="0.25">
      <c r="A15" s="57"/>
      <c r="B15" s="58"/>
      <c r="C15" s="56"/>
      <c r="D15" s="56"/>
      <c r="E15" s="56"/>
      <c r="F15" s="60"/>
      <c r="G15" s="62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J28" sqref="J28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-671.04</v>
      </c>
      <c r="L1" s="39" t="s">
        <v>88</v>
      </c>
      <c r="M1" s="40">
        <f>20+24+12+8</f>
        <v>64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-94.55</v>
      </c>
      <c r="L2" s="41" t="s">
        <v>61</v>
      </c>
      <c r="M2" s="39">
        <f>J1+M1</f>
        <v>-607.04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108250.14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x14ac:dyDescent="0.25">
      <c r="A6" s="80">
        <v>23</v>
      </c>
      <c r="B6" s="81" t="s">
        <v>7</v>
      </c>
      <c r="C6" s="3">
        <f>IFERROR(INDEX('SubDept Single'!G$1:G$100,MATCH('SubDept Sales Report'!A6,'SubDept Single'!A$1:A$100,0)),0)</f>
        <v>-1.5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82">
        <f t="shared" ref="G6:G53" si="0">(C6+D6)-E6-F6</f>
        <v>-1.5</v>
      </c>
      <c r="H6">
        <v>110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-671.04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83">
        <f>C10+D10</f>
        <v>-671.04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7.8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83">
        <f t="shared" si="0"/>
        <v>7.8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4.5999999999999996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83">
        <f t="shared" si="0"/>
        <v>4.5999999999999996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15630.75</v>
      </c>
      <c r="D22" s="3">
        <f>IFERROR(INDEX('SubDept Coupon (Local Discount)'!G$1:G$100,MATCH('SubDept Sales Report'!A22,'SubDept Coupon (Local Discount)'!A$1:A$100,0)),0)</f>
        <v>12.94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83">
        <f t="shared" si="0"/>
        <v>15643.69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11266.3</v>
      </c>
      <c r="D23" s="3">
        <f>IFERROR(INDEX('SubDept Coupon (Local Discount)'!G$1:G$100,MATCH('SubDept Sales Report'!A23,'SubDept Coupon (Local Discount)'!A$1:A$100,0)),0)</f>
        <v>28.27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83">
        <f t="shared" si="0"/>
        <v>11294.57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3501.65</v>
      </c>
      <c r="D24" s="3">
        <f>IFERROR(INDEX('SubDept Coupon (Local Discount)'!G$1:G$100,MATCH('SubDept Sales Report'!A24,'SubDept Coupon (Local Discount)'!A$1:A$100,0)),0)</f>
        <v>1.32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83">
        <f t="shared" si="0"/>
        <v>3502.9700000000003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10337.23</v>
      </c>
      <c r="D25" s="3">
        <f>IFERROR(INDEX('SubDept Coupon (Local Discount)'!G$1:G$100,MATCH('SubDept Sales Report'!A25,'SubDept Coupon (Local Discount)'!A$1:A$100,0)),0)</f>
        <v>0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83">
        <f t="shared" si="0"/>
        <v>10337.23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885.73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83">
        <f t="shared" si="0"/>
        <v>885.73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2576.04</v>
      </c>
      <c r="D27" s="3">
        <f>IFERROR(INDEX('SubDept Coupon (Local Discount)'!G$1:G$100,MATCH('SubDept Sales Report'!A27,'SubDept Coupon (Local Discount)'!A$1:A$100,0)),0)</f>
        <v>22.19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83">
        <f t="shared" si="0"/>
        <v>2598.23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1111.08</v>
      </c>
      <c r="D28" s="3">
        <f>IFERROR(INDEX('SubDept Coupon (Local Discount)'!G$1:G$100,MATCH('SubDept Sales Report'!A28,'SubDept Coupon (Local Discount)'!A$1:A$100,0)),0)</f>
        <v>9.5399999999999991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83">
        <f t="shared" si="0"/>
        <v>1120.6199999999999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240.58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83">
        <f t="shared" si="0"/>
        <v>240.58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953.15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83">
        <f t="shared" si="0"/>
        <v>953.15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10810.17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83">
        <f t="shared" si="0"/>
        <v>10810.17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2638.53</v>
      </c>
      <c r="D33" s="3">
        <f>IFERROR(INDEX('SubDept Coupon (Local Discount)'!G$1:G$100,MATCH('SubDept Sales Report'!A33,'SubDept Coupon (Local Discount)'!A$1:A$100,0)),0)</f>
        <v>1.1499999999999999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83">
        <f t="shared" si="0"/>
        <v>2639.6800000000003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681.92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83">
        <f>C34+D34</f>
        <v>681.92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1313.5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83">
        <f t="shared" si="0"/>
        <v>1313.5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895.38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83">
        <f t="shared" si="0"/>
        <v>895.38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1131.32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83">
        <f t="shared" si="0"/>
        <v>1131.32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5436.37</v>
      </c>
      <c r="D39" s="3">
        <f>IFERROR(INDEX('SubDept Coupon (Local Discount)'!G$1:G$100,MATCH('SubDept Sales Report'!A39,'SubDept Coupon (Local Discount)'!A$1:A$100,0)),0)</f>
        <v>7.49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83">
        <f t="shared" si="0"/>
        <v>5443.86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7666.9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83">
        <f t="shared" si="0"/>
        <v>7666.9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1925.55</v>
      </c>
      <c r="D41" s="3">
        <f>IFERROR(INDEX('SubDept Coupon (Local Discount)'!G$1:G$100,MATCH('SubDept Sales Report'!A41,'SubDept Coupon (Local Discount)'!A$1:A$100,0)),0)</f>
        <v>4.84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83">
        <f t="shared" si="0"/>
        <v>1930.3899999999999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2259.19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83">
        <f t="shared" si="0"/>
        <v>2259.19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1581.91</v>
      </c>
      <c r="D43" s="3">
        <f>IFERROR(INDEX('SubDept Coupon (Local Discount)'!G$1:G$100,MATCH('SubDept Sales Report'!A43,'SubDept Coupon (Local Discount)'!A$1:A$100,0)),0)</f>
        <v>4.2300000000000004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83">
        <f t="shared" si="0"/>
        <v>1586.14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15969.89</v>
      </c>
      <c r="D44" s="3">
        <f>IFERROR(INDEX('SubDept Coupon (Local Discount)'!G$1:G$100,MATCH('SubDept Sales Report'!A44,'SubDept Coupon (Local Discount)'!A$1:A$100,0)),0)</f>
        <v>1.88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83">
        <f t="shared" si="0"/>
        <v>15971.769999999999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1409.82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83">
        <f t="shared" si="0"/>
        <v>1409.82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3174.34</v>
      </c>
      <c r="D46" s="3">
        <f>IFERROR(INDEX('SubDept Coupon (Local Discount)'!G$1:G$100,MATCH('SubDept Sales Report'!A46,'SubDept Coupon (Local Discount)'!A$1:A$100,0)),0)</f>
        <v>0.7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83">
        <f t="shared" si="0"/>
        <v>3175.04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5402.16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83">
        <f t="shared" si="0"/>
        <v>5402.16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21.98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83">
        <f t="shared" si="0"/>
        <v>21.98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88.84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83">
        <f t="shared" si="0"/>
        <v>88.84</v>
      </c>
      <c r="I53" s="12"/>
      <c r="J53" s="3"/>
      <c r="K53" s="3"/>
    </row>
    <row r="54" spans="1:11" x14ac:dyDescent="0.25">
      <c r="B54" s="19" t="s">
        <v>52</v>
      </c>
      <c r="C54" s="3">
        <f>SUM(C5:C53)</f>
        <v>108250.14</v>
      </c>
      <c r="D54" s="11">
        <f>SUM(D5:D53)</f>
        <v>94.55</v>
      </c>
      <c r="E54" s="11">
        <f>SUM(E5:E53)</f>
        <v>0</v>
      </c>
      <c r="F54" s="11">
        <f>SUM(F5:F53)</f>
        <v>0</v>
      </c>
      <c r="G54" s="38">
        <f>SUM(G11:G53,G9,G8,G7,G6,G5)</f>
        <v>109015.73</v>
      </c>
      <c r="I54" s="12"/>
      <c r="J54" s="3"/>
      <c r="K54" s="3"/>
    </row>
  </sheetData>
  <autoFilter ref="A4:G54" xr:uid="{459199FD-0CD3-4C93-B98C-3BA614742282}">
    <filterColumn colId="6">
      <filters>
        <filter val="$(1.50)"/>
        <filter val="$(671.04)"/>
        <filter val="$1,120.62"/>
        <filter val="$1,131.32"/>
        <filter val="$1,313.50"/>
        <filter val="$1,409.82"/>
        <filter val="$1,586.14"/>
        <filter val="$1,930.39"/>
        <filter val="$10,337.23"/>
        <filter val="$10,810.17"/>
        <filter val="$109,015.73"/>
        <filter val="$11,294.57"/>
        <filter val="$15,643.69"/>
        <filter val="$15,971.77"/>
        <filter val="$2,259.19"/>
        <filter val="$2,598.23"/>
        <filter val="$2,639.68"/>
        <filter val="$21.98"/>
        <filter val="$240.58"/>
        <filter val="$3,175.04"/>
        <filter val="$3,502.97"/>
        <filter val="$4.60"/>
        <filter val="$5,402.16"/>
        <filter val="$5,443.86"/>
        <filter val="$681.92"/>
        <filter val="$7,666.90"/>
        <filter val="$7.80"/>
        <filter val="$88.84"/>
        <filter val="$885.73"/>
        <filter val="$895.38"/>
        <filter val="$953.15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2026-07-31T15:04:14Z</dcterms:modified>
</cp:coreProperties>
</file>