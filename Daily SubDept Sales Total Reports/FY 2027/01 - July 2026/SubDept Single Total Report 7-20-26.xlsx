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74C0542F-4891-4594-9868-68B84B6B7CA5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M1" i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<sst xmlns="http://schemas.openxmlformats.org/spreadsheetml/2006/main" count="140" uniqueCount="92">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</sst>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72" formatCode="000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0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172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036CAEB3-C0B0-4EFE-8ADD-E0B0FBE9B174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8">
        <v>27</v>
      </c>
      <c r="B1" s="59" t="s">
        <v>11</v>
      </c>
      <c r="C1" s="57"/>
      <c r="D1" s="57"/>
      <c r="E1" s="57"/>
      <c r="F1" s="57"/>
      <c r="G1" s="60">
        <v>-427</v>
      </c>
    </row>
    <row r="2" spans="1:7" x14ac:dyDescent="0.25">
      <c r="A2" s="58">
        <v>28</v>
      </c>
      <c r="B2" s="59" t="s">
        <v>12</v>
      </c>
      <c r="C2" s="57"/>
      <c r="D2" s="57"/>
      <c r="E2" s="57"/>
      <c r="F2" s="61">
        <v>62</v>
      </c>
      <c r="G2" s="62">
        <v>6.2</v>
      </c>
    </row>
    <row r="3" spans="1:7" x14ac:dyDescent="0.25">
      <c r="A3" s="58">
        <v>38</v>
      </c>
      <c r="B3" s="59" t="s">
        <v>55</v>
      </c>
      <c r="C3" s="57"/>
      <c r="D3" s="57"/>
      <c r="E3" s="57"/>
      <c r="F3" s="61">
        <v>63</v>
      </c>
      <c r="G3" s="62">
        <v>3.15</v>
      </c>
    </row>
    <row r="4" spans="1:7" x14ac:dyDescent="0.25">
      <c r="A4" s="58">
        <v>110</v>
      </c>
      <c r="B4" s="59" t="s">
        <v>22</v>
      </c>
      <c r="C4" s="57"/>
      <c r="D4" s="57"/>
      <c r="E4" s="57"/>
      <c r="F4" s="61">
        <v>2939</v>
      </c>
      <c r="G4" s="63">
        <v>13735.62</v>
      </c>
    </row>
    <row r="5" spans="1:7" x14ac:dyDescent="0.25">
      <c r="A5" s="58">
        <v>120</v>
      </c>
      <c r="B5" s="59" t="s">
        <v>23</v>
      </c>
      <c r="C5" s="57"/>
      <c r="D5" s="57"/>
      <c r="E5" s="57"/>
      <c r="F5" s="61">
        <v>2163</v>
      </c>
      <c r="G5" s="63">
        <v>11101.08</v>
      </c>
    </row>
    <row r="6" spans="1:7" x14ac:dyDescent="0.25">
      <c r="A6" s="58">
        <v>130</v>
      </c>
      <c r="B6" s="59" t="s">
        <v>24</v>
      </c>
      <c r="C6" s="57"/>
      <c r="D6" s="57"/>
      <c r="E6" s="57"/>
      <c r="F6" s="61">
        <v>468</v>
      </c>
      <c r="G6" s="65">
        <v>3156.64</v>
      </c>
    </row>
    <row r="7" spans="1:7" x14ac:dyDescent="0.25">
      <c r="A7" s="58">
        <v>140</v>
      </c>
      <c r="B7" s="59" t="s">
        <v>25</v>
      </c>
      <c r="C7" s="57"/>
      <c r="D7" s="57"/>
      <c r="E7" s="57"/>
      <c r="F7" s="61">
        <v>1301</v>
      </c>
      <c r="G7" s="65">
        <v>8494.91</v>
      </c>
    </row>
    <row r="8" spans="1:7" x14ac:dyDescent="0.25">
      <c r="A8" s="58">
        <v>142</v>
      </c>
      <c r="B8" s="59" t="s">
        <v>26</v>
      </c>
      <c r="C8" s="57"/>
      <c r="D8" s="57"/>
      <c r="E8" s="57"/>
      <c r="F8" s="61">
        <v>164</v>
      </c>
      <c r="G8" s="60">
        <v>792.02</v>
      </c>
    </row>
    <row r="9" spans="1:7" x14ac:dyDescent="0.25">
      <c r="A9" s="58">
        <v>150</v>
      </c>
      <c r="B9" s="59" t="s">
        <v>27</v>
      </c>
      <c r="C9" s="57"/>
      <c r="D9" s="57"/>
      <c r="E9" s="57"/>
      <c r="F9" s="61">
        <v>344</v>
      </c>
      <c r="G9" s="65">
        <v>2020.13</v>
      </c>
    </row>
    <row r="10" spans="1:7" x14ac:dyDescent="0.25">
      <c r="A10" s="58">
        <v>160</v>
      </c>
      <c r="B10" s="59" t="s">
        <v>28</v>
      </c>
      <c r="C10" s="57"/>
      <c r="D10" s="57"/>
      <c r="E10" s="57"/>
      <c r="F10" s="61">
        <v>56</v>
      </c>
      <c r="G10" s="60">
        <v>652.29999999999995</v>
      </c>
    </row>
    <row r="11" spans="1:7" x14ac:dyDescent="0.25">
      <c r="A11" s="58">
        <v>170</v>
      </c>
      <c r="B11" s="59" t="s">
        <v>29</v>
      </c>
      <c r="C11" s="57"/>
      <c r="D11" s="57"/>
      <c r="E11" s="57"/>
      <c r="F11" s="57"/>
      <c r="G11" s="57"/>
    </row>
    <row r="12" spans="1:7" x14ac:dyDescent="0.25">
      <c r="A12" s="58">
        <v>180</v>
      </c>
      <c r="B12" s="59" t="s">
        <v>30</v>
      </c>
      <c r="C12" s="57"/>
      <c r="D12" s="57"/>
      <c r="E12" s="57"/>
      <c r="F12" s="61">
        <v>69</v>
      </c>
      <c r="G12" s="60">
        <v>207.95</v>
      </c>
    </row>
    <row r="13" spans="1:7" x14ac:dyDescent="0.25">
      <c r="A13" s="58">
        <v>190</v>
      </c>
      <c r="B13" s="59" t="s">
        <v>31</v>
      </c>
      <c r="C13" s="57"/>
      <c r="D13" s="57"/>
      <c r="E13" s="57"/>
      <c r="F13" s="61">
        <v>116</v>
      </c>
      <c r="G13" s="60">
        <v>862.24</v>
      </c>
    </row>
    <row r="14" spans="1:7" x14ac:dyDescent="0.25">
      <c r="A14" s="58">
        <v>210</v>
      </c>
      <c r="B14" s="59" t="s">
        <v>32</v>
      </c>
      <c r="C14" s="57"/>
      <c r="D14" s="57"/>
      <c r="E14" s="57"/>
      <c r="F14" s="61">
        <v>1093</v>
      </c>
      <c r="G14" s="65">
        <v>8884.9</v>
      </c>
    </row>
    <row r="15" spans="1:7" x14ac:dyDescent="0.25">
      <c r="A15" s="58">
        <v>220</v>
      </c>
      <c r="B15" s="59" t="s">
        <v>33</v>
      </c>
      <c r="C15" s="57"/>
      <c r="D15" s="57"/>
      <c r="E15" s="57"/>
      <c r="F15" s="61">
        <v>678</v>
      </c>
      <c r="G15" s="65">
        <v>2278.44</v>
      </c>
    </row>
    <row r="16" spans="1:7" x14ac:dyDescent="0.25">
      <c r="A16" s="58">
        <v>230</v>
      </c>
      <c r="B16" s="59" t="s">
        <v>34</v>
      </c>
      <c r="C16" s="57"/>
      <c r="D16" s="57"/>
      <c r="E16" s="57"/>
      <c r="F16" s="61">
        <v>1</v>
      </c>
      <c r="G16" s="64">
        <v>35</v>
      </c>
    </row>
    <row r="17" spans="1:7" x14ac:dyDescent="0.25">
      <c r="A17" s="58">
        <v>235</v>
      </c>
      <c r="B17" s="59" t="s">
        <v>59</v>
      </c>
      <c r="C17" s="57"/>
      <c r="D17" s="57"/>
      <c r="E17" s="57"/>
      <c r="F17" s="61">
        <v>58</v>
      </c>
      <c r="G17" s="60">
        <v>685.42</v>
      </c>
    </row>
    <row r="18" spans="1:7" x14ac:dyDescent="0.25">
      <c r="A18" s="58">
        <v>240</v>
      </c>
      <c r="B18" s="59" t="s">
        <v>35</v>
      </c>
      <c r="C18" s="57"/>
      <c r="D18" s="57"/>
      <c r="E18" s="57"/>
      <c r="F18" s="61">
        <v>197</v>
      </c>
      <c r="G18" s="60">
        <v>711.93</v>
      </c>
    </row>
    <row r="19" spans="1:7" x14ac:dyDescent="0.25">
      <c r="A19" s="58">
        <v>250</v>
      </c>
      <c r="B19" s="59" t="s">
        <v>36</v>
      </c>
      <c r="C19" s="57"/>
      <c r="D19" s="57"/>
      <c r="E19" s="57"/>
      <c r="F19" s="61">
        <v>158</v>
      </c>
      <c r="G19" s="60">
        <v>884.72</v>
      </c>
    </row>
    <row r="20" spans="1:7" x14ac:dyDescent="0.25">
      <c r="A20" s="58">
        <v>310</v>
      </c>
      <c r="B20" s="59" t="s">
        <v>37</v>
      </c>
      <c r="C20" s="57"/>
      <c r="D20" s="57"/>
      <c r="E20" s="57"/>
      <c r="F20" s="61">
        <v>712</v>
      </c>
      <c r="G20" s="65">
        <v>4579.03</v>
      </c>
    </row>
    <row r="21" spans="1:7" x14ac:dyDescent="0.25">
      <c r="A21" s="58">
        <v>320</v>
      </c>
      <c r="B21" s="59" t="s">
        <v>38</v>
      </c>
      <c r="C21" s="57"/>
      <c r="D21" s="57"/>
      <c r="E21" s="57"/>
      <c r="F21" s="61">
        <v>617</v>
      </c>
      <c r="G21" s="65">
        <v>6582.66</v>
      </c>
    </row>
    <row r="22" spans="1:7" x14ac:dyDescent="0.25">
      <c r="A22" s="58">
        <v>330</v>
      </c>
      <c r="B22" s="59" t="s">
        <v>39</v>
      </c>
      <c r="C22" s="57"/>
      <c r="D22" s="57"/>
      <c r="E22" s="57"/>
      <c r="F22" s="61">
        <v>204</v>
      </c>
      <c r="G22" s="65">
        <v>1722.86</v>
      </c>
    </row>
    <row r="23" spans="1:7" x14ac:dyDescent="0.25">
      <c r="A23" s="58">
        <v>340</v>
      </c>
      <c r="B23" s="59" t="s">
        <v>40</v>
      </c>
      <c r="C23" s="57"/>
      <c r="D23" s="57"/>
      <c r="E23" s="57"/>
      <c r="F23" s="61">
        <v>145</v>
      </c>
      <c r="G23" s="65">
        <v>1935.36</v>
      </c>
    </row>
    <row r="24" spans="1:7" x14ac:dyDescent="0.25">
      <c r="A24" s="58">
        <v>350</v>
      </c>
      <c r="B24" s="59" t="s">
        <v>41</v>
      </c>
      <c r="C24" s="57"/>
      <c r="D24" s="57"/>
      <c r="E24" s="57"/>
      <c r="F24" s="61">
        <v>134</v>
      </c>
      <c r="G24" s="65">
        <v>1147.57</v>
      </c>
    </row>
    <row r="25" spans="1:7" x14ac:dyDescent="0.25">
      <c r="A25" s="58">
        <v>410</v>
      </c>
      <c r="B25" s="59" t="s">
        <v>42</v>
      </c>
      <c r="C25" s="57"/>
      <c r="D25" s="57"/>
      <c r="E25" s="57"/>
      <c r="F25" s="66">
        <v>4378.0110000000004</v>
      </c>
      <c r="G25" s="63">
        <v>14838.63</v>
      </c>
    </row>
    <row r="26" spans="1:7" x14ac:dyDescent="0.25">
      <c r="A26" s="58">
        <v>420</v>
      </c>
      <c r="B26" s="59" t="s">
        <v>43</v>
      </c>
      <c r="C26" s="57"/>
      <c r="D26" s="57"/>
      <c r="E26" s="57"/>
      <c r="F26" s="61">
        <v>320</v>
      </c>
      <c r="G26" s="65">
        <v>1810.31</v>
      </c>
    </row>
    <row r="27" spans="1:7" x14ac:dyDescent="0.25">
      <c r="A27" s="58">
        <v>510</v>
      </c>
      <c r="B27" s="59" t="s">
        <v>44</v>
      </c>
      <c r="C27" s="57"/>
      <c r="D27" s="57"/>
      <c r="E27" s="57"/>
      <c r="F27" s="61">
        <v>258</v>
      </c>
      <c r="G27" s="65">
        <v>2424.96</v>
      </c>
    </row>
    <row r="28" spans="1:7" x14ac:dyDescent="0.25">
      <c r="A28" s="58">
        <v>520</v>
      </c>
      <c r="B28" s="59" t="s">
        <v>45</v>
      </c>
      <c r="C28" s="57"/>
      <c r="D28" s="57"/>
      <c r="E28" s="57"/>
      <c r="F28" s="61">
        <v>322</v>
      </c>
      <c r="G28" s="65">
        <v>5326.78</v>
      </c>
    </row>
    <row r="29" spans="1:7" x14ac:dyDescent="0.25">
      <c r="A29" s="58">
        <v>550</v>
      </c>
      <c r="B29" s="59" t="s">
        <v>48</v>
      </c>
      <c r="C29" s="57"/>
      <c r="D29" s="57"/>
      <c r="E29" s="57"/>
      <c r="F29" s="61">
        <v>4</v>
      </c>
      <c r="G29" s="64">
        <v>43.97</v>
      </c>
    </row>
    <row r="30" spans="1:7" x14ac:dyDescent="0.25">
      <c r="A30" s="58">
        <v>1300</v>
      </c>
      <c r="B30" s="59" t="s">
        <v>51</v>
      </c>
      <c r="C30" s="57"/>
      <c r="D30" s="57"/>
      <c r="E30" s="57"/>
      <c r="F30" s="61">
        <v>29</v>
      </c>
      <c r="G30" s="60">
        <v>195.82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25</v>
      </c>
      <c r="G1" s="71">
        <v>10.76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57</v>
      </c>
      <c r="G2" s="71">
        <v>36.119999999999997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4</v>
      </c>
      <c r="G3" s="72">
        <v>3.42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1</v>
      </c>
      <c r="G4" s="72">
        <v>0.78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124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47</v>
      </c>
      <c r="G6" s="71">
        <v>18.12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4</v>
      </c>
      <c r="G7" s="72">
        <v>5.34</v>
      </c>
    </row>
    <row r="8" spans="1:7" x14ac:dyDescent="0.25">
      <c r="A8" s="68">
        <v>180</v>
      </c>
      <c r="B8" s="69" t="s">
        <v>30</v>
      </c>
      <c r="C8" s="67"/>
      <c r="D8" s="67"/>
      <c r="E8" s="67"/>
      <c r="F8" s="70">
        <v>1</v>
      </c>
      <c r="G8" s="72">
        <v>0.46</v>
      </c>
    </row>
    <row r="9" spans="1:7" x14ac:dyDescent="0.25">
      <c r="A9" s="68">
        <v>210</v>
      </c>
      <c r="B9" s="69" t="s">
        <v>32</v>
      </c>
      <c r="C9" s="67"/>
      <c r="D9" s="67"/>
      <c r="E9" s="67"/>
      <c r="F9" s="70">
        <v>18</v>
      </c>
      <c r="G9" s="67"/>
    </row>
    <row r="10" spans="1:7" x14ac:dyDescent="0.25">
      <c r="A10" s="68">
        <v>220</v>
      </c>
      <c r="B10" s="69" t="s">
        <v>33</v>
      </c>
      <c r="C10" s="67"/>
      <c r="D10" s="67"/>
      <c r="E10" s="67"/>
      <c r="F10" s="70">
        <v>3</v>
      </c>
      <c r="G10" s="72">
        <v>2.33</v>
      </c>
    </row>
    <row r="11" spans="1:7" x14ac:dyDescent="0.25">
      <c r="A11" s="68">
        <v>310</v>
      </c>
      <c r="B11" s="69" t="s">
        <v>37</v>
      </c>
      <c r="C11" s="67"/>
      <c r="D11" s="67"/>
      <c r="E11" s="67"/>
      <c r="F11" s="70">
        <v>4</v>
      </c>
      <c r="G11" s="72">
        <v>5.74</v>
      </c>
    </row>
    <row r="12" spans="1:7" x14ac:dyDescent="0.25">
      <c r="A12" s="68">
        <v>330</v>
      </c>
      <c r="B12" s="69" t="s">
        <v>39</v>
      </c>
      <c r="C12" s="67"/>
      <c r="D12" s="67"/>
      <c r="E12" s="67"/>
      <c r="F12" s="70">
        <v>4</v>
      </c>
      <c r="G12" s="72">
        <v>3.91</v>
      </c>
    </row>
    <row r="13" spans="1:7" x14ac:dyDescent="0.25">
      <c r="A13" s="68">
        <v>350</v>
      </c>
      <c r="B13" s="69" t="s">
        <v>41</v>
      </c>
      <c r="C13" s="67"/>
      <c r="D13" s="67"/>
      <c r="E13" s="67"/>
      <c r="F13" s="70">
        <v>1</v>
      </c>
      <c r="G13" s="72">
        <v>1.1000000000000001</v>
      </c>
    </row>
    <row r="14" spans="1:7" x14ac:dyDescent="0.25">
      <c r="A14" s="68">
        <v>410</v>
      </c>
      <c r="B14" s="69" t="s">
        <v>42</v>
      </c>
      <c r="C14" s="67"/>
      <c r="D14" s="67"/>
      <c r="E14" s="67"/>
      <c r="F14" s="70">
        <v>5</v>
      </c>
      <c r="G14" s="72">
        <v>0.95</v>
      </c>
    </row>
    <row r="15" spans="1:7" x14ac:dyDescent="0.25">
      <c r="A15" s="68">
        <v>520</v>
      </c>
      <c r="B15" s="69" t="s">
        <v>45</v>
      </c>
      <c r="C15" s="67"/>
      <c r="D15" s="67"/>
      <c r="E15" s="67"/>
      <c r="F15" s="70">
        <v>1</v>
      </c>
      <c r="G15" s="72">
        <v>2.77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5"/>
      <c r="B9" s="55"/>
      <c r="C9" s="55"/>
      <c r="D9" s="5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5"/>
      <c r="B12" s="55"/>
      <c r="C12" s="55"/>
      <c r="D12" s="55"/>
      <c r="E12" s="55"/>
      <c r="F12" s="55"/>
      <c r="G12" s="55"/>
      <c r="H12" s="55"/>
    </row>
    <row r="13" spans="1:8" ht="15" customHeight="1" x14ac:dyDescent="0.25">
      <c r="A13" s="55"/>
      <c r="B13" s="55"/>
      <c r="C13" s="55"/>
      <c r="D13" s="55"/>
      <c r="E13" s="55"/>
      <c r="F13" s="22"/>
      <c r="G13" s="25"/>
    </row>
    <row r="14" spans="1:8" x14ac:dyDescent="0.25">
      <c r="A14" s="22"/>
    </row>
    <row r="15" spans="1:8" x14ac:dyDescent="0.25">
      <c r="A15" s="55"/>
      <c r="B15" s="55"/>
      <c r="C15" s="55"/>
      <c r="D15" s="55"/>
      <c r="E15" s="55"/>
      <c r="F15" s="55"/>
      <c r="G15" s="55"/>
      <c r="H15" s="55"/>
    </row>
    <row r="16" spans="1:8" ht="15" customHeight="1" x14ac:dyDescent="0.25">
      <c r="A16" s="55"/>
      <c r="B16" s="55"/>
      <c r="C16" s="55"/>
      <c r="D16" s="55"/>
      <c r="E16" s="5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5"/>
      <c r="B544" s="55"/>
      <c r="C544" s="55"/>
      <c r="D544" s="55"/>
      <c r="E544" s="55"/>
      <c r="F544" s="55"/>
      <c r="G544" s="55"/>
      <c r="H544" s="55"/>
    </row>
    <row r="545" spans="1:8" ht="15" customHeight="1" x14ac:dyDescent="0.25">
      <c r="A545" s="55"/>
      <c r="B545" s="55"/>
      <c r="C545" s="55"/>
      <c r="D545" s="55"/>
      <c r="E545" s="55"/>
      <c r="F545" s="22"/>
      <c r="G545" s="25"/>
    </row>
    <row r="546" spans="1:8" x14ac:dyDescent="0.25">
      <c r="A546" s="22"/>
    </row>
    <row r="547" spans="1:8" x14ac:dyDescent="0.25">
      <c r="A547" s="55"/>
      <c r="B547" s="55"/>
      <c r="C547" s="55"/>
      <c r="D547" s="55"/>
      <c r="E547" s="55"/>
      <c r="F547" s="55"/>
      <c r="G547" s="55"/>
      <c r="H547" s="55"/>
    </row>
    <row r="548" spans="1:8" ht="15" customHeight="1" x14ac:dyDescent="0.25">
      <c r="A548" s="55"/>
      <c r="B548" s="55"/>
      <c r="C548" s="55"/>
      <c r="D548" s="55"/>
      <c r="E548" s="5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5"/>
      <c r="B729" s="55"/>
      <c r="C729" s="55"/>
      <c r="D729" s="55"/>
      <c r="E729" s="55"/>
      <c r="F729" s="55"/>
      <c r="G729" s="55"/>
      <c r="H729" s="55"/>
    </row>
    <row r="730" spans="1:8" ht="15" customHeight="1" x14ac:dyDescent="0.25">
      <c r="A730" s="55"/>
      <c r="B730" s="55"/>
      <c r="C730" s="55"/>
      <c r="D730" s="55"/>
      <c r="E730" s="55"/>
      <c r="F730" s="22"/>
      <c r="G730" s="25"/>
    </row>
    <row r="731" spans="1:8" x14ac:dyDescent="0.25">
      <c r="A731" s="22"/>
    </row>
    <row r="732" spans="1:8" x14ac:dyDescent="0.25">
      <c r="A732" s="55"/>
      <c r="B732" s="55"/>
      <c r="C732" s="55"/>
      <c r="D732" s="55"/>
      <c r="E732" s="55"/>
      <c r="F732" s="55"/>
      <c r="G732" s="55"/>
      <c r="H732" s="55"/>
    </row>
    <row r="733" spans="1:8" ht="15" customHeight="1" x14ac:dyDescent="0.25">
      <c r="A733" s="55"/>
      <c r="B733" s="55"/>
      <c r="C733" s="55"/>
      <c r="D733" s="55"/>
      <c r="E733" s="5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23" sqref="J23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6" t="s">
        <v>0</v>
      </c>
      <c r="B1" s="56"/>
      <c r="C1" s="56"/>
      <c r="D1" s="56"/>
      <c r="E1" s="56"/>
      <c r="F1" s="56"/>
      <c r="G1" s="56"/>
      <c r="I1" s="17" t="s">
        <v>54</v>
      </c>
      <c r="J1" s="18">
        <f>G10</f>
        <v>-427</v>
      </c>
      <c r="L1" s="39" t="s">
        <v>88</v>
      </c>
      <c r="M1" s="40">
        <f>26+12+24</f>
        <v>62</v>
      </c>
      <c r="O1" s="45" t="s">
        <v>7</v>
      </c>
      <c r="P1" s="46"/>
    </row>
    <row r="2" spans="1:16" ht="18.75" x14ac:dyDescent="0.4">
      <c r="A2" s="56"/>
      <c r="B2" s="56"/>
      <c r="C2" s="56"/>
      <c r="D2" s="56"/>
      <c r="E2" s="56"/>
      <c r="F2" s="56"/>
      <c r="G2" s="56"/>
      <c r="I2" s="13" t="s">
        <v>60</v>
      </c>
      <c r="J2" s="14">
        <f>D54*-1</f>
        <v>-91.799999999999983</v>
      </c>
      <c r="L2" s="41" t="s">
        <v>61</v>
      </c>
      <c r="M2" s="39">
        <f>J1+M1</f>
        <v>-365</v>
      </c>
      <c r="O2" s="45" t="s">
        <v>91</v>
      </c>
      <c r="P2" s="46"/>
    </row>
    <row r="3" spans="1:16" ht="18.75" x14ac:dyDescent="0.4">
      <c r="A3" s="56"/>
      <c r="B3" s="56"/>
      <c r="C3" s="56"/>
      <c r="D3" s="56"/>
      <c r="E3" s="56"/>
      <c r="F3" s="56"/>
      <c r="G3" s="56"/>
      <c r="I3" s="15" t="s">
        <v>53</v>
      </c>
      <c r="J3" s="16">
        <f>G54+J1+J2</f>
        <v>94693.6</v>
      </c>
      <c r="O3" s="45" t="s">
        <v>89</v>
      </c>
      <c r="P3" s="54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-427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3">
        <f>C10+D10</f>
        <v>-427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3">
        <f t="shared" si="0"/>
        <v>6.2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3.15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3">
        <f t="shared" si="0"/>
        <v>3.15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13735.62</v>
      </c>
      <c r="D22" s="3">
        <f>IFERROR(INDEX('SubDept Coupon (Local Discount)'!G$1:G$100,MATCH('SubDept Sales Report'!A22,'SubDept Coupon (Local Discount)'!A$1:A$100,0)),0)</f>
        <v>10.76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3">
        <f t="shared" si="0"/>
        <v>13746.380000000001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11101.08</v>
      </c>
      <c r="D23" s="3">
        <f>IFERROR(INDEX('SubDept Coupon (Local Discount)'!G$1:G$100,MATCH('SubDept Sales Report'!A23,'SubDept Coupon (Local Discount)'!A$1:A$100,0)),0)</f>
        <v>36.119999999999997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3">
        <f t="shared" si="0"/>
        <v>11137.2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3156.64</v>
      </c>
      <c r="D24" s="3">
        <f>IFERROR(INDEX('SubDept Coupon (Local Discount)'!G$1:G$100,MATCH('SubDept Sales Report'!A24,'SubDept Coupon (Local Discount)'!A$1:A$100,0)),0)</f>
        <v>3.42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3">
        <f t="shared" si="0"/>
        <v>3160.06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8494.91</v>
      </c>
      <c r="D25" s="3">
        <f>IFERROR(INDEX('SubDept Coupon (Local Discount)'!G$1:G$100,MATCH('SubDept Sales Report'!A25,'SubDept Coupon (Local Discount)'!A$1:A$100,0)),0)</f>
        <v>0.78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3">
        <f t="shared" si="0"/>
        <v>8495.69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792.02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3">
        <f t="shared" si="0"/>
        <v>792.02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2020.13</v>
      </c>
      <c r="D27" s="3">
        <f>IFERROR(INDEX('SubDept Coupon (Local Discount)'!G$1:G$100,MATCH('SubDept Sales Report'!A27,'SubDept Coupon (Local Discount)'!A$1:A$100,0)),0)</f>
        <v>18.12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3">
        <f t="shared" si="0"/>
        <v>2038.25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652.29999999999995</v>
      </c>
      <c r="D28" s="3">
        <f>IFERROR(INDEX('SubDept Coupon (Local Discount)'!G$1:G$100,MATCH('SubDept Sales Report'!A28,'SubDept Coupon (Local Discount)'!A$1:A$100,0)),0)</f>
        <v>5.34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3">
        <f t="shared" si="0"/>
        <v>657.64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207.95</v>
      </c>
      <c r="D30" s="3">
        <f>IFERROR(INDEX('SubDept Coupon (Local Discount)'!G$1:G$100,MATCH('SubDept Sales Report'!A30,'SubDept Coupon (Local Discount)'!A$1:A$100,0)),0)</f>
        <v>0.46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3">
        <f t="shared" si="0"/>
        <v>208.41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862.24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3">
        <f t="shared" si="0"/>
        <v>862.24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8884.9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3">
        <f t="shared" si="0"/>
        <v>8884.9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2278.44</v>
      </c>
      <c r="D33" s="3">
        <f>IFERROR(INDEX('SubDept Coupon (Local Discount)'!G$1:G$100,MATCH('SubDept Sales Report'!A33,'SubDept Coupon (Local Discount)'!A$1:A$100,0)),0)</f>
        <v>2.33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3">
        <f t="shared" si="0"/>
        <v>2280.77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35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3">
        <f>C34+D34</f>
        <v>35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685.42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3">
        <f t="shared" si="0"/>
        <v>685.42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711.93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3">
        <f t="shared" si="0"/>
        <v>711.93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884.72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3">
        <f t="shared" si="0"/>
        <v>884.72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4579.03</v>
      </c>
      <c r="D39" s="3">
        <f>IFERROR(INDEX('SubDept Coupon (Local Discount)'!G$1:G$100,MATCH('SubDept Sales Report'!A39,'SubDept Coupon (Local Discount)'!A$1:A$100,0)),0)</f>
        <v>5.74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3">
        <f t="shared" si="0"/>
        <v>4584.7699999999995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6582.66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3">
        <f t="shared" si="0"/>
        <v>6582.66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1722.86</v>
      </c>
      <c r="D41" s="3">
        <f>IFERROR(INDEX('SubDept Coupon (Local Discount)'!G$1:G$100,MATCH('SubDept Sales Report'!A41,'SubDept Coupon (Local Discount)'!A$1:A$100,0)),0)</f>
        <v>3.91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3">
        <f t="shared" si="0"/>
        <v>1726.77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1935.36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3">
        <f t="shared" si="0"/>
        <v>1935.36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1147.57</v>
      </c>
      <c r="D43" s="3">
        <f>IFERROR(INDEX('SubDept Coupon (Local Discount)'!G$1:G$100,MATCH('SubDept Sales Report'!A43,'SubDept Coupon (Local Discount)'!A$1:A$100,0)),0)</f>
        <v>1.1000000000000001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3">
        <f t="shared" si="0"/>
        <v>1148.6699999999998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14838.63</v>
      </c>
      <c r="D44" s="3">
        <f>IFERROR(INDEX('SubDept Coupon (Local Discount)'!G$1:G$100,MATCH('SubDept Sales Report'!A44,'SubDept Coupon (Local Discount)'!A$1:A$100,0)),0)</f>
        <v>0.95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3">
        <f t="shared" si="0"/>
        <v>14839.58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1810.31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3">
        <f t="shared" si="0"/>
        <v>1810.31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2424.96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3">
        <f t="shared" si="0"/>
        <v>2424.96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5326.78</v>
      </c>
      <c r="D47" s="3">
        <f>IFERROR(INDEX('SubDept Coupon (Local Discount)'!G$1:G$100,MATCH('SubDept Sales Report'!A47,'SubDept Coupon (Local Discount)'!A$1:A$100,0)),0)</f>
        <v>2.77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3">
        <f t="shared" si="0"/>
        <v>5329.55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43.97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3">
        <f t="shared" si="0"/>
        <v>43.97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195.82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3">
        <f t="shared" si="0"/>
        <v>195.82</v>
      </c>
      <c r="I53" s="12"/>
      <c r="J53" s="3"/>
      <c r="K53" s="3"/>
    </row>
    <row r="54" spans="1:11" x14ac:dyDescent="0.25">
      <c r="B54" s="19" t="s">
        <v>52</v>
      </c>
      <c r="C54" s="3">
        <f>SUM(C5:C53)</f>
        <v>94693.60000000002</v>
      </c>
      <c r="D54" s="11">
        <f>SUM(D5:D53)</f>
        <v>91.799999999999983</v>
      </c>
      <c r="E54" s="11">
        <f>SUM(E5:E53)</f>
        <v>0</v>
      </c>
      <c r="F54" s="11">
        <f>SUM(F5:F53)</f>
        <v>0</v>
      </c>
      <c r="G54" s="38">
        <f>SUM(G11:G53,G9,G8,G7,G6,G5)</f>
        <v>95212.400000000009</v>
      </c>
      <c r="I54" s="12"/>
      <c r="J54" s="3"/>
      <c r="K54" s="3"/>
    </row>
  </sheetData>
  <autoFilter ref="A4:G54" xr:uid="{459199FD-0CD3-4C93-B98C-3BA614742282}">
    <filterColumn colId="6">
      <filters>
        <filter val="$(427.00)"/>
        <filter val="$1,148.67"/>
        <filter val="$1,726.77"/>
        <filter val="$1,810.31"/>
        <filter val="$1,935.36"/>
        <filter val="$11,137.20"/>
        <filter val="$13,746.38"/>
        <filter val="$14,839.58"/>
        <filter val="$195.82"/>
        <filter val="$2,038.25"/>
        <filter val="$2,280.77"/>
        <filter val="$2,424.96"/>
        <filter val="$208.41"/>
        <filter val="$3,160.06"/>
        <filter val="$3.15"/>
        <filter val="$35.00"/>
        <filter val="$4,584.77"/>
        <filter val="$43.97"/>
        <filter val="$5,329.55"/>
        <filter val="$6,582.66"/>
        <filter val="$6.20"/>
        <filter val="$657.64"/>
        <filter val="$685.42"/>
        <filter val="$711.93"/>
        <filter val="$792.02"/>
        <filter val="$8,495.69"/>
        <filter val="$8,884.90"/>
        <filter val="$862.24"/>
        <filter val="$884.72"/>
        <filter val="$95,212.40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2026-07-21T15:36:14Z</dcterms:modified>
</cp:coreProperties>
</file>