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FADB6927-58D8-418C-BBC7-24D15FFD2ECE}" xr6:coauthVersionLast="47" xr6:coauthVersionMax="47" xr10:uidLastSave="{00000000-0000-0000-0000-000000000000}"/>
  <bookViews>
    <workbookView xWindow="-6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<sst xmlns="http://schemas.openxmlformats.org/spreadsheetml/2006/main" count="141" uniqueCount="92">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</sst>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69" formatCode="00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</cellStyleXfs>
  <cellXfs count="65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165" fontId="18" fillId="0" borderId="0" xfId="10" applyNumberFormat="1" applyAlignment="1" applyProtection="1">
      <alignment horizontal="right" vertical="top"/>
      <protection locked="0"/>
    </xf>
    <xf numFmtId="166" fontId="18" fillId="0" borderId="0" xfId="10" applyNumberFormat="1" applyAlignment="1" applyProtection="1">
      <alignment horizontal="right" vertical="top"/>
      <protection locked="0"/>
    </xf>
    <xf numFmtId="167" fontId="18" fillId="0" borderId="0" xfId="10" applyNumberFormat="1" applyAlignment="1" applyProtection="1">
      <alignment horizontal="right" vertical="top"/>
      <protection locked="0"/>
    </xf>
    <xf numFmtId="164" fontId="18" fillId="0" borderId="0" xfId="10" applyNumberFormat="1" applyAlignment="1" applyProtection="1">
      <alignment horizontal="right" vertical="top"/>
      <protection locked="0"/>
    </xf>
    <xf numFmtId="169" fontId="18" fillId="0" borderId="0" xfId="10" applyNumberFormat="1" applyAlignment="1" applyProtection="1">
      <alignment horizontal="right" vertical="top"/>
      <protection locked="0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4" fontId="0" fillId="2" borderId="0" xfId="3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3"/>
  <sheetViews>
    <sheetView workbookViewId="0">
      <selection sqref="A1:G33"/>
    </sheetView>
  </sheetViews>
  <sheetFormatPr defaultRowHeight="15" x14ac:dyDescent="0.25"/>
  <cols>
    <col min="2" max="2" width="14.7109375" bestFit="1" customWidth="1"/>
  </cols>
  <sheetData>
    <row r="1" spans="1:7" x14ac:dyDescent="0.25">
      <c r="A1" s="53">
        <v>22</v>
      </c>
      <c r="B1" s="54" t="s">
        <v>6</v>
      </c>
      <c r="C1" s="52"/>
      <c r="D1" s="52"/>
      <c r="E1" s="52"/>
      <c r="F1" s="55">
        <v>3</v>
      </c>
      <c r="G1" s="57">
        <v>90</v>
      </c>
    </row>
    <row r="2" spans="1:7" x14ac:dyDescent="0.25">
      <c r="A2" s="53">
        <v>23</v>
      </c>
      <c r="B2" s="54" t="s">
        <v>7</v>
      </c>
      <c r="C2" s="52"/>
      <c r="D2" s="52"/>
      <c r="E2" s="52"/>
      <c r="F2" s="55">
        <v>-1</v>
      </c>
      <c r="G2" s="56">
        <v>-5</v>
      </c>
    </row>
    <row r="3" spans="1:7" x14ac:dyDescent="0.25">
      <c r="A3" s="53">
        <v>24</v>
      </c>
      <c r="B3" s="54" t="s">
        <v>8</v>
      </c>
      <c r="C3" s="52"/>
      <c r="D3" s="52"/>
      <c r="E3" s="52"/>
      <c r="F3" s="55">
        <v>4</v>
      </c>
      <c r="G3" s="56">
        <v>0.2</v>
      </c>
    </row>
    <row r="4" spans="1:7" x14ac:dyDescent="0.25">
      <c r="A4" s="53">
        <v>27</v>
      </c>
      <c r="B4" s="54" t="s">
        <v>11</v>
      </c>
      <c r="C4" s="52"/>
      <c r="D4" s="52"/>
      <c r="E4" s="52"/>
      <c r="F4" s="55">
        <v>-1</v>
      </c>
      <c r="G4" s="58">
        <v>-2769</v>
      </c>
    </row>
    <row r="5" spans="1:7" x14ac:dyDescent="0.25">
      <c r="A5" s="53">
        <v>28</v>
      </c>
      <c r="B5" s="54" t="s">
        <v>12</v>
      </c>
      <c r="C5" s="52"/>
      <c r="D5" s="52"/>
      <c r="E5" s="52"/>
      <c r="F5" s="55">
        <v>59</v>
      </c>
      <c r="G5" s="56">
        <v>5.9</v>
      </c>
    </row>
    <row r="6" spans="1:7" x14ac:dyDescent="0.25">
      <c r="A6" s="53">
        <v>38</v>
      </c>
      <c r="B6" s="54" t="s">
        <v>55</v>
      </c>
      <c r="C6" s="52"/>
      <c r="D6" s="52"/>
      <c r="E6" s="52"/>
      <c r="F6" s="55">
        <v>60</v>
      </c>
      <c r="G6" s="56">
        <v>3</v>
      </c>
    </row>
    <row r="7" spans="1:7" x14ac:dyDescent="0.25">
      <c r="A7" s="53">
        <v>110</v>
      </c>
      <c r="B7" s="54" t="s">
        <v>22</v>
      </c>
      <c r="C7" s="52"/>
      <c r="D7" s="52"/>
      <c r="E7" s="52"/>
      <c r="F7" s="55">
        <v>3554</v>
      </c>
      <c r="G7" s="59">
        <v>16178.46</v>
      </c>
    </row>
    <row r="8" spans="1:7" x14ac:dyDescent="0.25">
      <c r="A8" s="53">
        <v>120</v>
      </c>
      <c r="B8" s="54" t="s">
        <v>23</v>
      </c>
      <c r="C8" s="52"/>
      <c r="D8" s="52"/>
      <c r="E8" s="52"/>
      <c r="F8" s="55">
        <v>2441</v>
      </c>
      <c r="G8" s="59">
        <v>12243.03</v>
      </c>
    </row>
    <row r="9" spans="1:7" x14ac:dyDescent="0.25">
      <c r="A9" s="53">
        <v>130</v>
      </c>
      <c r="B9" s="54" t="s">
        <v>24</v>
      </c>
      <c r="C9" s="52"/>
      <c r="D9" s="52"/>
      <c r="E9" s="52"/>
      <c r="F9" s="55">
        <v>598</v>
      </c>
      <c r="G9" s="58">
        <v>3955.85</v>
      </c>
    </row>
    <row r="10" spans="1:7" x14ac:dyDescent="0.25">
      <c r="A10" s="53">
        <v>140</v>
      </c>
      <c r="B10" s="54" t="s">
        <v>25</v>
      </c>
      <c r="C10" s="52"/>
      <c r="D10" s="52"/>
      <c r="E10" s="52"/>
      <c r="F10" s="55">
        <v>1513</v>
      </c>
      <c r="G10" s="59">
        <v>10827.52</v>
      </c>
    </row>
    <row r="11" spans="1:7" x14ac:dyDescent="0.25">
      <c r="A11" s="53">
        <v>142</v>
      </c>
      <c r="B11" s="54" t="s">
        <v>26</v>
      </c>
      <c r="C11" s="52"/>
      <c r="D11" s="52"/>
      <c r="E11" s="52"/>
      <c r="F11" s="55">
        <v>192</v>
      </c>
      <c r="G11" s="60">
        <v>771.65</v>
      </c>
    </row>
    <row r="12" spans="1:7" x14ac:dyDescent="0.25">
      <c r="A12" s="53">
        <v>150</v>
      </c>
      <c r="B12" s="54" t="s">
        <v>27</v>
      </c>
      <c r="C12" s="52"/>
      <c r="D12" s="52"/>
      <c r="E12" s="52"/>
      <c r="F12" s="55">
        <v>511</v>
      </c>
      <c r="G12" s="58">
        <v>2894.53</v>
      </c>
    </row>
    <row r="13" spans="1:7" x14ac:dyDescent="0.25">
      <c r="A13" s="53">
        <v>160</v>
      </c>
      <c r="B13" s="54" t="s">
        <v>28</v>
      </c>
      <c r="C13" s="52"/>
      <c r="D13" s="52"/>
      <c r="E13" s="52"/>
      <c r="F13" s="55">
        <v>193</v>
      </c>
      <c r="G13" s="58">
        <v>2354.58</v>
      </c>
    </row>
    <row r="14" spans="1:7" x14ac:dyDescent="0.25">
      <c r="A14" s="53">
        <v>170</v>
      </c>
      <c r="B14" s="54" t="s">
        <v>29</v>
      </c>
      <c r="C14" s="52"/>
      <c r="D14" s="52"/>
      <c r="E14" s="52"/>
      <c r="F14" s="55">
        <v>1</v>
      </c>
      <c r="G14" s="57">
        <v>10.45</v>
      </c>
    </row>
    <row r="15" spans="1:7" x14ac:dyDescent="0.25">
      <c r="A15" s="53">
        <v>180</v>
      </c>
      <c r="B15" s="54" t="s">
        <v>30</v>
      </c>
      <c r="C15" s="52"/>
      <c r="D15" s="52"/>
      <c r="E15" s="52"/>
      <c r="F15" s="55">
        <v>124</v>
      </c>
      <c r="G15" s="60">
        <v>371.93</v>
      </c>
    </row>
    <row r="16" spans="1:7" x14ac:dyDescent="0.25">
      <c r="A16" s="53">
        <v>190</v>
      </c>
      <c r="B16" s="54" t="s">
        <v>31</v>
      </c>
      <c r="C16" s="52"/>
      <c r="D16" s="52"/>
      <c r="E16" s="52"/>
      <c r="F16" s="55">
        <v>143</v>
      </c>
      <c r="G16" s="60">
        <v>903.41</v>
      </c>
    </row>
    <row r="17" spans="1:7" x14ac:dyDescent="0.25">
      <c r="A17" s="53">
        <v>210</v>
      </c>
      <c r="B17" s="54" t="s">
        <v>32</v>
      </c>
      <c r="C17" s="52"/>
      <c r="D17" s="52"/>
      <c r="E17" s="52"/>
      <c r="F17" s="55">
        <v>1217</v>
      </c>
      <c r="G17" s="58">
        <v>9934.61</v>
      </c>
    </row>
    <row r="18" spans="1:7" x14ac:dyDescent="0.25">
      <c r="A18" s="53">
        <v>220</v>
      </c>
      <c r="B18" s="54" t="s">
        <v>33</v>
      </c>
      <c r="C18" s="52"/>
      <c r="D18" s="52"/>
      <c r="E18" s="52"/>
      <c r="F18" s="61">
        <v>679.1</v>
      </c>
      <c r="G18" s="58">
        <v>3416.41</v>
      </c>
    </row>
    <row r="19" spans="1:7" x14ac:dyDescent="0.25">
      <c r="A19" s="53">
        <v>230</v>
      </c>
      <c r="B19" s="54" t="s">
        <v>34</v>
      </c>
      <c r="C19" s="52"/>
      <c r="D19" s="52"/>
      <c r="E19" s="52"/>
      <c r="F19" s="55">
        <v>7</v>
      </c>
      <c r="G19" s="60">
        <v>320.95</v>
      </c>
    </row>
    <row r="20" spans="1:7" x14ac:dyDescent="0.25">
      <c r="A20" s="53">
        <v>235</v>
      </c>
      <c r="B20" s="54" t="s">
        <v>59</v>
      </c>
      <c r="C20" s="52"/>
      <c r="D20" s="52"/>
      <c r="E20" s="52"/>
      <c r="F20" s="55">
        <v>54</v>
      </c>
      <c r="G20" s="60">
        <v>718.96</v>
      </c>
    </row>
    <row r="21" spans="1:7" x14ac:dyDescent="0.25">
      <c r="A21" s="53">
        <v>240</v>
      </c>
      <c r="B21" s="54" t="s">
        <v>35</v>
      </c>
      <c r="C21" s="52"/>
      <c r="D21" s="52"/>
      <c r="E21" s="52"/>
      <c r="F21" s="55">
        <v>192</v>
      </c>
      <c r="G21" s="60">
        <v>755.91</v>
      </c>
    </row>
    <row r="22" spans="1:7" x14ac:dyDescent="0.25">
      <c r="A22" s="53">
        <v>250</v>
      </c>
      <c r="B22" s="54" t="s">
        <v>36</v>
      </c>
      <c r="C22" s="52"/>
      <c r="D22" s="52"/>
      <c r="E22" s="52"/>
      <c r="F22" s="55">
        <v>90</v>
      </c>
      <c r="G22" s="60">
        <v>527.70000000000005</v>
      </c>
    </row>
    <row r="23" spans="1:7" x14ac:dyDescent="0.25">
      <c r="A23" s="53">
        <v>310</v>
      </c>
      <c r="B23" s="54" t="s">
        <v>37</v>
      </c>
      <c r="C23" s="52"/>
      <c r="D23" s="52"/>
      <c r="E23" s="52"/>
      <c r="F23" s="55">
        <v>1077</v>
      </c>
      <c r="G23" s="58">
        <v>6234.66</v>
      </c>
    </row>
    <row r="24" spans="1:7" x14ac:dyDescent="0.25">
      <c r="A24" s="53">
        <v>320</v>
      </c>
      <c r="B24" s="54" t="s">
        <v>38</v>
      </c>
      <c r="C24" s="52"/>
      <c r="D24" s="52"/>
      <c r="E24" s="52"/>
      <c r="F24" s="55">
        <v>951</v>
      </c>
      <c r="G24" s="58">
        <v>9902.14</v>
      </c>
    </row>
    <row r="25" spans="1:7" x14ac:dyDescent="0.25">
      <c r="A25" s="53">
        <v>330</v>
      </c>
      <c r="B25" s="54" t="s">
        <v>39</v>
      </c>
      <c r="C25" s="52"/>
      <c r="D25" s="52"/>
      <c r="E25" s="52"/>
      <c r="F25" s="55">
        <v>246</v>
      </c>
      <c r="G25" s="58">
        <v>2249.9299999999998</v>
      </c>
    </row>
    <row r="26" spans="1:7" x14ac:dyDescent="0.25">
      <c r="A26" s="53">
        <v>340</v>
      </c>
      <c r="B26" s="54" t="s">
        <v>40</v>
      </c>
      <c r="C26" s="52"/>
      <c r="D26" s="52"/>
      <c r="E26" s="52"/>
      <c r="F26" s="55">
        <v>165</v>
      </c>
      <c r="G26" s="58">
        <v>2623.6</v>
      </c>
    </row>
    <row r="27" spans="1:7" x14ac:dyDescent="0.25">
      <c r="A27" s="53">
        <v>350</v>
      </c>
      <c r="B27" s="54" t="s">
        <v>41</v>
      </c>
      <c r="C27" s="52"/>
      <c r="D27" s="52"/>
      <c r="E27" s="52"/>
      <c r="F27" s="55">
        <v>128</v>
      </c>
      <c r="G27" s="58">
        <v>1206</v>
      </c>
    </row>
    <row r="28" spans="1:7" x14ac:dyDescent="0.25">
      <c r="A28" s="53">
        <v>410</v>
      </c>
      <c r="B28" s="54" t="s">
        <v>42</v>
      </c>
      <c r="C28" s="52"/>
      <c r="D28" s="52"/>
      <c r="E28" s="52"/>
      <c r="F28" s="55">
        <v>5453</v>
      </c>
      <c r="G28" s="59">
        <v>20029.63</v>
      </c>
    </row>
    <row r="29" spans="1:7" x14ac:dyDescent="0.25">
      <c r="A29" s="53">
        <v>420</v>
      </c>
      <c r="B29" s="54" t="s">
        <v>43</v>
      </c>
      <c r="C29" s="52"/>
      <c r="D29" s="52"/>
      <c r="E29" s="52"/>
      <c r="F29" s="55">
        <v>242</v>
      </c>
      <c r="G29" s="58">
        <v>2044.31</v>
      </c>
    </row>
    <row r="30" spans="1:7" x14ac:dyDescent="0.25">
      <c r="A30" s="53">
        <v>510</v>
      </c>
      <c r="B30" s="54" t="s">
        <v>44</v>
      </c>
      <c r="C30" s="52"/>
      <c r="D30" s="52"/>
      <c r="E30" s="52"/>
      <c r="F30" s="55">
        <v>358</v>
      </c>
      <c r="G30" s="58">
        <v>2990.52</v>
      </c>
    </row>
    <row r="31" spans="1:7" x14ac:dyDescent="0.25">
      <c r="A31" s="53">
        <v>520</v>
      </c>
      <c r="B31" s="54" t="s">
        <v>45</v>
      </c>
      <c r="C31" s="52"/>
      <c r="D31" s="52"/>
      <c r="E31" s="52"/>
      <c r="F31" s="55">
        <v>274</v>
      </c>
      <c r="G31" s="58">
        <v>4818.13</v>
      </c>
    </row>
    <row r="32" spans="1:7" x14ac:dyDescent="0.25">
      <c r="A32" s="53">
        <v>550</v>
      </c>
      <c r="B32" s="54" t="s">
        <v>48</v>
      </c>
      <c r="C32" s="52"/>
      <c r="D32" s="52"/>
      <c r="E32" s="52"/>
      <c r="F32" s="55">
        <v>4</v>
      </c>
      <c r="G32" s="57">
        <v>41.88</v>
      </c>
    </row>
    <row r="33" spans="1:7" x14ac:dyDescent="0.25">
      <c r="A33" s="53">
        <v>1300</v>
      </c>
      <c r="B33" s="54" t="s">
        <v>51</v>
      </c>
      <c r="C33" s="52"/>
      <c r="D33" s="52"/>
      <c r="E33" s="52"/>
      <c r="F33" s="55">
        <v>20</v>
      </c>
      <c r="G33" s="60">
        <v>124.91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3"/>
    </sheetView>
  </sheetViews>
  <sheetFormatPr defaultRowHeight="15" x14ac:dyDescent="0.25"/>
  <sheetData>
    <row r="1" spans="1:7" x14ac:dyDescent="0.25">
      <c r="A1" s="53">
        <v>110</v>
      </c>
      <c r="B1" s="54" t="s">
        <v>22</v>
      </c>
      <c r="C1" s="52"/>
      <c r="D1" s="52"/>
      <c r="E1" s="52"/>
      <c r="F1" s="55">
        <v>20</v>
      </c>
      <c r="G1" s="56">
        <v>7.17</v>
      </c>
    </row>
    <row r="2" spans="1:7" x14ac:dyDescent="0.25">
      <c r="A2" s="53">
        <v>120</v>
      </c>
      <c r="B2" s="54" t="s">
        <v>23</v>
      </c>
      <c r="C2" s="52"/>
      <c r="D2" s="52"/>
      <c r="E2" s="52"/>
      <c r="F2" s="55">
        <v>44</v>
      </c>
      <c r="G2" s="57">
        <v>24.13</v>
      </c>
    </row>
    <row r="3" spans="1:7" x14ac:dyDescent="0.25">
      <c r="A3" s="53">
        <v>130</v>
      </c>
      <c r="B3" s="54" t="s">
        <v>24</v>
      </c>
      <c r="C3" s="52"/>
      <c r="D3" s="52"/>
      <c r="E3" s="52"/>
      <c r="F3" s="55">
        <v>5</v>
      </c>
      <c r="G3" s="56">
        <v>2.67</v>
      </c>
    </row>
    <row r="4" spans="1:7" x14ac:dyDescent="0.25">
      <c r="A4" s="53">
        <v>140</v>
      </c>
      <c r="B4" s="54" t="s">
        <v>25</v>
      </c>
      <c r="C4" s="52"/>
      <c r="D4" s="52"/>
      <c r="E4" s="52"/>
      <c r="F4" s="56">
        <v>3.07</v>
      </c>
      <c r="G4" s="56">
        <v>0.15</v>
      </c>
    </row>
    <row r="5" spans="1:7" x14ac:dyDescent="0.25">
      <c r="A5" s="53">
        <v>142</v>
      </c>
      <c r="B5" s="54" t="s">
        <v>26</v>
      </c>
      <c r="C5" s="52"/>
      <c r="D5" s="52"/>
      <c r="E5" s="52"/>
      <c r="F5" s="55">
        <v>150</v>
      </c>
      <c r="G5" s="52"/>
    </row>
    <row r="6" spans="1:7" x14ac:dyDescent="0.25">
      <c r="A6" s="53">
        <v>150</v>
      </c>
      <c r="B6" s="54" t="s">
        <v>27</v>
      </c>
      <c r="C6" s="52"/>
      <c r="D6" s="52"/>
      <c r="E6" s="52"/>
      <c r="F6" s="55">
        <v>35</v>
      </c>
      <c r="G6" s="57">
        <v>15.06</v>
      </c>
    </row>
    <row r="7" spans="1:7" x14ac:dyDescent="0.25">
      <c r="A7" s="53">
        <v>160</v>
      </c>
      <c r="B7" s="54" t="s">
        <v>28</v>
      </c>
      <c r="C7" s="52"/>
      <c r="D7" s="52"/>
      <c r="E7" s="52"/>
      <c r="F7" s="55">
        <v>12</v>
      </c>
      <c r="G7" s="57">
        <v>12.39</v>
      </c>
    </row>
    <row r="8" spans="1:7" x14ac:dyDescent="0.25">
      <c r="A8" s="53">
        <v>210</v>
      </c>
      <c r="B8" s="54" t="s">
        <v>32</v>
      </c>
      <c r="C8" s="52"/>
      <c r="D8" s="52"/>
      <c r="E8" s="52"/>
      <c r="F8" s="55">
        <v>31</v>
      </c>
      <c r="G8" s="52"/>
    </row>
    <row r="9" spans="1:7" x14ac:dyDescent="0.25">
      <c r="A9" s="53">
        <v>220</v>
      </c>
      <c r="B9" s="54" t="s">
        <v>33</v>
      </c>
      <c r="C9" s="52"/>
      <c r="D9" s="52"/>
      <c r="E9" s="52"/>
      <c r="F9" s="55">
        <v>2</v>
      </c>
      <c r="G9" s="56">
        <v>2.02</v>
      </c>
    </row>
    <row r="10" spans="1:7" x14ac:dyDescent="0.25">
      <c r="A10" s="53">
        <v>310</v>
      </c>
      <c r="B10" s="54" t="s">
        <v>37</v>
      </c>
      <c r="C10" s="52"/>
      <c r="D10" s="52"/>
      <c r="E10" s="52"/>
      <c r="F10" s="55">
        <v>5</v>
      </c>
      <c r="G10" s="56">
        <v>2.66</v>
      </c>
    </row>
    <row r="11" spans="1:7" x14ac:dyDescent="0.25">
      <c r="A11" s="53">
        <v>330</v>
      </c>
      <c r="B11" s="54" t="s">
        <v>39</v>
      </c>
      <c r="C11" s="52"/>
      <c r="D11" s="52"/>
      <c r="E11" s="52"/>
      <c r="F11" s="55">
        <v>3</v>
      </c>
      <c r="G11" s="56">
        <v>4.2300000000000004</v>
      </c>
    </row>
    <row r="12" spans="1:7" x14ac:dyDescent="0.25">
      <c r="A12" s="53">
        <v>350</v>
      </c>
      <c r="B12" s="54" t="s">
        <v>41</v>
      </c>
      <c r="C12" s="52"/>
      <c r="D12" s="52"/>
      <c r="E12" s="52"/>
      <c r="F12" s="55">
        <v>2</v>
      </c>
      <c r="G12" s="56">
        <v>2.08</v>
      </c>
    </row>
    <row r="13" spans="1:7" x14ac:dyDescent="0.25">
      <c r="A13" s="53">
        <v>410</v>
      </c>
      <c r="B13" s="54" t="s">
        <v>42</v>
      </c>
      <c r="C13" s="52"/>
      <c r="D13" s="52"/>
      <c r="E13" s="52"/>
      <c r="F13" s="55">
        <v>7</v>
      </c>
      <c r="G13" s="56">
        <v>1.45</v>
      </c>
    </row>
    <row r="14" spans="1:7" x14ac:dyDescent="0.25">
      <c r="A14" s="53"/>
      <c r="B14" s="54"/>
      <c r="C14" s="52"/>
      <c r="D14" s="52"/>
      <c r="E14" s="52"/>
      <c r="F14" s="55"/>
      <c r="G14" s="56"/>
    </row>
    <row r="15" spans="1:7" x14ac:dyDescent="0.25">
      <c r="A15" s="53"/>
      <c r="B15" s="54"/>
      <c r="C15" s="52"/>
      <c r="D15" s="52"/>
      <c r="E15" s="52"/>
      <c r="F15" s="55"/>
      <c r="G15" s="56"/>
    </row>
    <row r="16" spans="1:7" x14ac:dyDescent="0.25">
      <c r="A16" s="47"/>
      <c r="B16" s="48"/>
      <c r="C16" s="46"/>
      <c r="D16" s="46"/>
      <c r="E16" s="46"/>
      <c r="F16" s="49"/>
      <c r="G16" s="50"/>
    </row>
    <row r="17" spans="1:7" x14ac:dyDescent="0.25">
      <c r="A17" s="47"/>
      <c r="B17" s="48"/>
      <c r="C17" s="46"/>
      <c r="D17" s="46"/>
      <c r="E17" s="46"/>
      <c r="F17" s="49"/>
      <c r="G17" s="50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63"/>
      <c r="B9" s="63"/>
      <c r="C9" s="63"/>
      <c r="D9" s="63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63"/>
      <c r="B12" s="63"/>
      <c r="C12" s="63"/>
      <c r="D12" s="63"/>
      <c r="E12" s="63"/>
      <c r="F12" s="63"/>
      <c r="G12" s="63"/>
      <c r="H12" s="63"/>
    </row>
    <row r="13" spans="1:8" ht="15" customHeight="1" x14ac:dyDescent="0.25">
      <c r="A13" s="63"/>
      <c r="B13" s="63"/>
      <c r="C13" s="63"/>
      <c r="D13" s="63"/>
      <c r="E13" s="63"/>
      <c r="F13" s="18"/>
      <c r="G13" s="21"/>
    </row>
    <row r="14" spans="1:8" x14ac:dyDescent="0.25">
      <c r="A14" s="18"/>
    </row>
    <row r="15" spans="1:8" x14ac:dyDescent="0.25">
      <c r="A15" s="63"/>
      <c r="B15" s="63"/>
      <c r="C15" s="63"/>
      <c r="D15" s="63"/>
      <c r="E15" s="63"/>
      <c r="F15" s="63"/>
      <c r="G15" s="63"/>
      <c r="H15" s="63"/>
    </row>
    <row r="16" spans="1:8" ht="15" customHeight="1" x14ac:dyDescent="0.25">
      <c r="A16" s="63"/>
      <c r="B16" s="63"/>
      <c r="C16" s="63"/>
      <c r="D16" s="63"/>
      <c r="E16" s="63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63"/>
      <c r="B544" s="63"/>
      <c r="C544" s="63"/>
      <c r="D544" s="63"/>
      <c r="E544" s="63"/>
      <c r="F544" s="63"/>
      <c r="G544" s="63"/>
      <c r="H544" s="63"/>
    </row>
    <row r="545" spans="1:8" ht="15" customHeight="1" x14ac:dyDescent="0.25">
      <c r="A545" s="63"/>
      <c r="B545" s="63"/>
      <c r="C545" s="63"/>
      <c r="D545" s="63"/>
      <c r="E545" s="63"/>
      <c r="F545" s="18"/>
      <c r="G545" s="21"/>
    </row>
    <row r="546" spans="1:8" x14ac:dyDescent="0.25">
      <c r="A546" s="18"/>
    </row>
    <row r="547" spans="1:8" x14ac:dyDescent="0.25">
      <c r="A547" s="63"/>
      <c r="B547" s="63"/>
      <c r="C547" s="63"/>
      <c r="D547" s="63"/>
      <c r="E547" s="63"/>
      <c r="F547" s="63"/>
      <c r="G547" s="63"/>
      <c r="H547" s="63"/>
    </row>
    <row r="548" spans="1:8" ht="15" customHeight="1" x14ac:dyDescent="0.25">
      <c r="A548" s="63"/>
      <c r="B548" s="63"/>
      <c r="C548" s="63"/>
      <c r="D548" s="63"/>
      <c r="E548" s="63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63"/>
      <c r="B729" s="63"/>
      <c r="C729" s="63"/>
      <c r="D729" s="63"/>
      <c r="E729" s="63"/>
      <c r="F729" s="63"/>
      <c r="G729" s="63"/>
      <c r="H729" s="63"/>
    </row>
    <row r="730" spans="1:8" ht="15" customHeight="1" x14ac:dyDescent="0.25">
      <c r="A730" s="63"/>
      <c r="B730" s="63"/>
      <c r="C730" s="63"/>
      <c r="D730" s="63"/>
      <c r="E730" s="63"/>
      <c r="F730" s="18"/>
      <c r="G730" s="21"/>
    </row>
    <row r="731" spans="1:8" x14ac:dyDescent="0.25">
      <c r="A731" s="18"/>
    </row>
    <row r="732" spans="1:8" x14ac:dyDescent="0.25">
      <c r="A732" s="63"/>
      <c r="B732" s="63"/>
      <c r="C732" s="63"/>
      <c r="D732" s="63"/>
      <c r="E732" s="63"/>
      <c r="F732" s="63"/>
      <c r="G732" s="63"/>
      <c r="H732" s="63"/>
    </row>
    <row r="733" spans="1:8" ht="15" customHeight="1" x14ac:dyDescent="0.25">
      <c r="A733" s="63"/>
      <c r="B733" s="63"/>
      <c r="C733" s="63"/>
      <c r="D733" s="63"/>
      <c r="E733" s="63"/>
      <c r="F733" s="18"/>
      <c r="G733" s="21"/>
      <c r="H733" s="18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topLeftCell="A4" workbookViewId="0">
      <selection activeCell="G22" sqref="G22:G54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62" t="s">
        <v>0</v>
      </c>
      <c r="B1" s="62"/>
      <c r="C1" s="62"/>
      <c r="D1" s="62"/>
      <c r="E1" s="62"/>
      <c r="F1" s="62"/>
      <c r="G1" s="62"/>
      <c r="I1" s="15" t="s">
        <v>54</v>
      </c>
      <c r="J1" s="16">
        <f>G10</f>
        <v>-2769</v>
      </c>
      <c r="L1" s="35" t="s">
        <v>88</v>
      </c>
      <c r="M1" s="36">
        <f>36+40+36+16</f>
        <v>128</v>
      </c>
      <c r="O1" s="42" t="s">
        <v>7</v>
      </c>
      <c r="P1" s="43"/>
    </row>
    <row r="2" spans="1:16" ht="18.75" x14ac:dyDescent="0.4">
      <c r="A2" s="62"/>
      <c r="B2" s="62"/>
      <c r="C2" s="62"/>
      <c r="D2" s="62"/>
      <c r="E2" s="62"/>
      <c r="F2" s="62"/>
      <c r="G2" s="62"/>
      <c r="I2" s="11" t="s">
        <v>60</v>
      </c>
      <c r="J2" s="12">
        <f>D54*-1</f>
        <v>-74.010000000000005</v>
      </c>
      <c r="L2" s="37" t="s">
        <v>61</v>
      </c>
      <c r="M2" s="35">
        <f>J1+M1</f>
        <v>-2641</v>
      </c>
      <c r="O2" s="42" t="s">
        <v>91</v>
      </c>
      <c r="P2" s="43"/>
    </row>
    <row r="3" spans="1:16" ht="18.75" x14ac:dyDescent="0.4">
      <c r="A3" s="62"/>
      <c r="B3" s="62"/>
      <c r="C3" s="62"/>
      <c r="D3" s="62"/>
      <c r="E3" s="62"/>
      <c r="F3" s="62"/>
      <c r="G3" s="62"/>
      <c r="I3" s="13" t="s">
        <v>53</v>
      </c>
      <c r="J3" s="14">
        <f>G54+J1+J2</f>
        <v>115776.76000000001</v>
      </c>
      <c r="O3" s="42" t="s">
        <v>89</v>
      </c>
      <c r="P3" s="51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4" t="s">
        <v>90</v>
      </c>
      <c r="P4" s="45">
        <f>SUM(P1:P3)</f>
        <v>0</v>
      </c>
    </row>
    <row r="5" spans="1:16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90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3">
        <f>(C5+D5)-E5-F5</f>
        <v>90</v>
      </c>
      <c r="I5" s="5"/>
      <c r="J5" s="23"/>
      <c r="K5" s="5"/>
    </row>
    <row r="6" spans="1:16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-5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-5</v>
      </c>
      <c r="H6">
        <v>7210410</v>
      </c>
      <c r="I6" s="3"/>
      <c r="J6" s="38"/>
      <c r="K6" s="3"/>
    </row>
    <row r="7" spans="1:16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0.2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3">
        <f t="shared" si="0"/>
        <v>0.2</v>
      </c>
      <c r="H7">
        <v>1311100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9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-2769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3">
        <f>C10+D10</f>
        <v>-2769</v>
      </c>
      <c r="J10" s="40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5.9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3">
        <f t="shared" si="0"/>
        <v>5.9</v>
      </c>
      <c r="J11" s="41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3">
        <f t="shared" si="0"/>
        <v>3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16178.46</v>
      </c>
      <c r="D22" s="3">
        <f>IFERROR(INDEX('SubDept Coupon (Local Discount)'!G$1:G$100,MATCH('SubDept Sales Report'!A22,'SubDept Coupon (Local Discount)'!A$1:A$100,0)),0)</f>
        <v>7.17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3">
        <f t="shared" si="0"/>
        <v>16185.63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12243.03</v>
      </c>
      <c r="D23" s="3">
        <f>IFERROR(INDEX('SubDept Coupon (Local Discount)'!G$1:G$100,MATCH('SubDept Sales Report'!A23,'SubDept Coupon (Local Discount)'!A$1:A$100,0)),0)</f>
        <v>24.13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3">
        <f t="shared" si="0"/>
        <v>12267.16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3955.85</v>
      </c>
      <c r="D24" s="3">
        <f>IFERROR(INDEX('SubDept Coupon (Local Discount)'!G$1:G$100,MATCH('SubDept Sales Report'!A24,'SubDept Coupon (Local Discount)'!A$1:A$100,0)),0)</f>
        <v>2.67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3">
        <f t="shared" si="0"/>
        <v>3958.52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10827.52</v>
      </c>
      <c r="D25" s="3">
        <f>IFERROR(INDEX('SubDept Coupon (Local Discount)'!G$1:G$100,MATCH('SubDept Sales Report'!A25,'SubDept Coupon (Local Discount)'!A$1:A$100,0)),0)</f>
        <v>0.15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3">
        <f t="shared" si="0"/>
        <v>10827.67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771.65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3">
        <f t="shared" si="0"/>
        <v>771.65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2894.53</v>
      </c>
      <c r="D27" s="3">
        <f>IFERROR(INDEX('SubDept Coupon (Local Discount)'!G$1:G$100,MATCH('SubDept Sales Report'!A27,'SubDept Coupon (Local Discount)'!A$1:A$100,0)),0)</f>
        <v>15.06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3">
        <f t="shared" si="0"/>
        <v>2909.59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2354.58</v>
      </c>
      <c r="D28" s="3">
        <f>IFERROR(INDEX('SubDept Coupon (Local Discount)'!G$1:G$100,MATCH('SubDept Sales Report'!A28,'SubDept Coupon (Local Discount)'!A$1:A$100,0)),0)</f>
        <v>12.39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3">
        <f t="shared" si="0"/>
        <v>2366.9699999999998</v>
      </c>
      <c r="I28" s="10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10.45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64">
        <f t="shared" si="0"/>
        <v>10.45</v>
      </c>
      <c r="H29">
        <v>7210410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371.93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3">
        <f t="shared" si="0"/>
        <v>371.93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903.41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3">
        <f t="shared" si="0"/>
        <v>903.41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9934.61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3">
        <f t="shared" si="0"/>
        <v>9934.61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3416.41</v>
      </c>
      <c r="D33" s="3">
        <f>IFERROR(INDEX('SubDept Coupon (Local Discount)'!G$1:G$100,MATCH('SubDept Sales Report'!A33,'SubDept Coupon (Local Discount)'!A$1:A$100,0)),0)</f>
        <v>2.02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3">
        <f t="shared" si="0"/>
        <v>3418.43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320.95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3">
        <f>C34+D34</f>
        <v>320.95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718.96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3">
        <f t="shared" si="0"/>
        <v>718.96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755.91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3">
        <f t="shared" si="0"/>
        <v>755.91</v>
      </c>
      <c r="I36" s="10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527.70000000000005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3">
        <f t="shared" si="0"/>
        <v>527.70000000000005</v>
      </c>
      <c r="I37" s="10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3">
        <f>C38+D38+E54+F54</f>
        <v>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6234.66</v>
      </c>
      <c r="D39" s="3">
        <f>IFERROR(INDEX('SubDept Coupon (Local Discount)'!G$1:G$100,MATCH('SubDept Sales Report'!A39,'SubDept Coupon (Local Discount)'!A$1:A$100,0)),0)</f>
        <v>2.66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3">
        <f t="shared" si="0"/>
        <v>6237.32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9902.14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3">
        <f t="shared" si="0"/>
        <v>9902.14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2249.9299999999998</v>
      </c>
      <c r="D41" s="3">
        <f>IFERROR(INDEX('SubDept Coupon (Local Discount)'!G$1:G$100,MATCH('SubDept Sales Report'!A41,'SubDept Coupon (Local Discount)'!A$1:A$100,0)),0)</f>
        <v>4.2300000000000004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3">
        <f t="shared" si="0"/>
        <v>2254.16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2623.6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3">
        <f t="shared" si="0"/>
        <v>2623.6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1206</v>
      </c>
      <c r="D43" s="3">
        <f>IFERROR(INDEX('SubDept Coupon (Local Discount)'!G$1:G$100,MATCH('SubDept Sales Report'!A43,'SubDept Coupon (Local Discount)'!A$1:A$100,0)),0)</f>
        <v>2.08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3">
        <f t="shared" si="0"/>
        <v>1208.08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20029.63</v>
      </c>
      <c r="D44" s="3">
        <f>IFERROR(INDEX('SubDept Coupon (Local Discount)'!G$1:G$100,MATCH('SubDept Sales Report'!A44,'SubDept Coupon (Local Discount)'!A$1:A$100,0)),0)</f>
        <v>1.45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3">
        <f t="shared" si="0"/>
        <v>20031.080000000002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2044.31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3">
        <f t="shared" si="0"/>
        <v>2044.31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2990.52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3">
        <f t="shared" si="0"/>
        <v>2990.52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4818.13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3">
        <f t="shared" si="0"/>
        <v>4818.13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41.88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3">
        <f t="shared" si="0"/>
        <v>41.88</v>
      </c>
      <c r="I50" s="10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3">
        <f t="shared" si="0"/>
        <v>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124.91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3">
        <f t="shared" si="0"/>
        <v>124.91</v>
      </c>
      <c r="I53" s="10"/>
      <c r="J53" s="3"/>
      <c r="K53" s="3"/>
    </row>
    <row r="54" spans="1:11" x14ac:dyDescent="0.25">
      <c r="B54" s="17" t="s">
        <v>52</v>
      </c>
      <c r="C54" s="3">
        <f>SUM(C5:C53)</f>
        <v>115776.76000000001</v>
      </c>
      <c r="D54" s="9">
        <f>SUM(D5:D53)</f>
        <v>74.010000000000005</v>
      </c>
      <c r="E54" s="9">
        <f>SUM(E5:E53)</f>
        <v>0</v>
      </c>
      <c r="F54" s="9">
        <f>SUM(F5:F53)</f>
        <v>0</v>
      </c>
      <c r="G54" s="34">
        <f>SUM(G11:G53,G9,G8,G7,G6,G5)</f>
        <v>118619.77</v>
      </c>
      <c r="I54" s="10"/>
      <c r="J54" s="3"/>
      <c r="K54" s="3"/>
    </row>
  </sheetData>
  <autoFilter ref="A4:G54" xr:uid="{459199FD-0CD3-4C93-B98C-3BA614742282}">
    <filterColumn colId="6">
      <filters>
        <filter val="$(2,769.00)"/>
        <filter val="$(5.00)"/>
        <filter val="$0.20"/>
        <filter val="$1,208.08"/>
        <filter val="$10,827.67"/>
        <filter val="$10.45"/>
        <filter val="$118,619.77"/>
        <filter val="$12,267.16"/>
        <filter val="$124.91"/>
        <filter val="$16,185.63"/>
        <filter val="$2,044.31"/>
        <filter val="$2,254.16"/>
        <filter val="$2,366.97"/>
        <filter val="$2,623.60"/>
        <filter val="$2,909.59"/>
        <filter val="$2,990.52"/>
        <filter val="$20,031.08"/>
        <filter val="$3,418.43"/>
        <filter val="$3,958.52"/>
        <filter val="$3.00"/>
        <filter val="$320.95"/>
        <filter val="$371.93"/>
        <filter val="$4,818.13"/>
        <filter val="$41.88"/>
        <filter val="$5.90"/>
        <filter val="$527.70"/>
        <filter val="$6,237.32"/>
        <filter val="$718.96"/>
        <filter val="$755.91"/>
        <filter val="$771.65"/>
        <filter val="$9,902.14"/>
        <filter val="$9,934.61"/>
        <filter val="$90.00"/>
        <filter val="$903.41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2026-07-06T17:04:01Z</dcterms:modified>
</cp:coreProperties>
</file>